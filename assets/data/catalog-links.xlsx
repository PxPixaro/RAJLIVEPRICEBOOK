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69b72269d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 Links" sheetId="1" r:id="R21d36cfdf4a84227"/>
    <x:sheet xmlns:r="http://schemas.openxmlformats.org/officeDocument/2006/relationships" name="How To Update" sheetId="2" r:id="R3fbfca6b89504b78"/>
    <x:sheet xmlns:r="http://schemas.openxmlformats.org/officeDocument/2006/relationships" name="Summary" sheetId="3" r:id="Rfb74bbf267a0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b/>
      <x:sz val="16"/>
      <x:color rgb="FFFFFFFF"/>
      <x:name val="Carlito"/>
    </x:font>
    <x:font>
      <x:b/>
      <x:sz val="11"/>
      <x:color rgb="FF0B4EA2"/>
      <x:name val="Carlito"/>
    </x:font>
    <x:font>
      <x:b/>
      <x:sz val="11"/>
      <x:color rgb="FF123D6A"/>
      <x:name val="Carlito"/>
    </x:font>
    <x:font>
      <x:b/>
      <x:sz val="14"/>
      <x:color rgb="FF0757A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4EA2"/>
      </x:patternFill>
    </x:fill>
    <x:fill>
      <x:patternFill patternType="solid">
        <x:fgColor rgb="FF1378D1"/>
      </x:patternFill>
    </x:fill>
    <x:fill>
      <x:patternFill patternType="solid">
        <x:fgColor rgb="FFE8F1FB"/>
      </x:patternFill>
    </x:fill>
    <x:fill>
      <x:patternFill patternType="solid">
        <x:fgColor rgb="FFEEF6F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feaa50f70499a" /><Relationship Type="http://schemas.openxmlformats.org/officeDocument/2006/relationships/theme" Target="/xl/theme/theme1.xml" Id="R1d48ca104e304570" /><Relationship Type="http://schemas.openxmlformats.org/officeDocument/2006/relationships/sharedStrings" Target="/xl/sharedStrings.xml" Id="Rd04d0080fb6948be" /><Relationship Type="http://schemas.openxmlformats.org/officeDocument/2006/relationships/worksheet" Target="/xl/worksheets/sheet1.xml" Id="R21d36cfdf4a84227" /><Relationship Type="http://schemas.openxmlformats.org/officeDocument/2006/relationships/worksheet" Target="/xl/worksheets/sheet2.xml" Id="R3fbfca6b89504b78" /><Relationship Type="http://schemas.openxmlformats.org/officeDocument/2006/relationships/worksheet" Target="/xl/worksheets/sheet3.xml" Id="Rfb74bbf267a043a4" /></Relationships>
</file>

<file path=xl/tables/table1.xml><?xml version="1.0" encoding="utf-8"?>
<x:table xmlns:x="http://schemas.openxmlformats.org/spreadsheetml/2006/main" id="1" name="CatalogLinksTable" displayName="CatalogLinksTable" ref="A1:I66" headerRowCount="1">
  <x:tableColumns count="9">
    <x:tableColumn id="1" name="GROUP"/>
    <x:tableColumn id="2" name="CATALOG LINK"/>
    <x:tableColumn id="3" name="STATUS"/>
    <x:tableColumn id="4" name="SOURCE NAME"/>
    <x:tableColumn id="5" name="FILE ID"/>
    <x:tableColumn id="6" name="DIRECT DOWNLOAD LINK"/>
    <x:tableColumn id="7" name="DUPLICATE CHECK"/>
    <x:tableColumn id="8" name="NOTES"/>
    <x:tableColumn id="9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d2651da6434fc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12" hidden="0" customWidth="1"/>
    <x:col min="4" max="4" width="16" hidden="0" customWidth="1"/>
    <x:col min="5" max="5" width="34" hidden="0" customWidth="1"/>
    <x:col min="6" max="6" width="58" hidden="0" customWidth="1"/>
    <x:col min="7" max="7" width="17" hidden="0" customWidth="1"/>
    <x:col min="8" max="8" width="34" hidden="0" customWidth="1"/>
    <x:col min="9" max="9" width="16" hidden="0" customWidth="1"/>
  </x:cols>
  <x:sheetData>
    <x:row r="1" ht="30" customHeight="1">
      <x:c r="A1" s="6" t="str">
        <x:v>GROUP</x:v>
      </x:c>
      <x:c r="B1" s="6" t="str">
        <x:v>CATALOG LINK</x:v>
      </x:c>
      <x:c r="C1" s="6" t="str">
        <x:v>STATUS</x:v>
      </x:c>
      <x:c r="D1" s="6" t="str">
        <x:v>SOURCE NAME</x:v>
      </x:c>
      <x:c r="E1" s="6" t="str">
        <x:v>FILE ID</x:v>
      </x:c>
      <x:c r="F1" s="6" t="str">
        <x:v>DIRECT DOWNLOAD LINK</x:v>
      </x:c>
      <x:c r="G1" s="6" t="str">
        <x:v>DUPLICATE CHECK</x:v>
      </x:c>
      <x:c r="H1" s="6" t="str">
        <x:v>NOTES</x:v>
      </x:c>
      <x:c r="I1" s="6" t="str">
        <x:v>LAST UPDATED</x:v>
      </x:c>
    </x:row>
    <x:row r="2" ht="38" customHeight="1">
      <x:c r="A2" s="30" t="str">
        <x:v>AAYUB</x:v>
      </x:c>
      <x:c r="B2" s="65" t="str">
        <x:v>https://drive.google.com/file/d/1_8d0VNoz9190GzbyQgMClJOLy85HZYLe/view?usp=drive_link</x:v>
      </x:c>
      <x:c r="C2" s="31" t="str">
        <x:v>ACTIVE</x:v>
      </x:c>
      <x:c r="D2" s="31" t="str">
        <x:v>AAYUB</x:v>
      </x:c>
      <x:c r="E2" s="31" t="str">
        <x:v>1_8d0VNoz9190GzbyQgMClJOLy85HZYLe</x:v>
      </x:c>
      <x:c r="F2" s="65" t="str">
        <x:f>IF(E2="","","https://drive.google.com/uc?export=download&amp;id="&amp;E2)</x:f>
        <x:v>https://drive.google.com/uc?export=download&amp;id=1_8d0VNoz9190GzbyQgMClJOLy85HZYLe</x:v>
      </x:c>
      <x:c r="G2" s="31" t="str">
        <x:f>IF(COUNTIF($B$2:$B$66,B2)&gt;1,"SHARED LINK","")</x:f>
      </x:c>
      <x:c r="H2" s="31" t="str"/>
      <x:c r="I2" s="71" t="n">
        <x:v>46222</x:v>
      </x:c>
    </x:row>
    <x:row r="3" ht="38" customHeight="1">
      <x:c r="A3" s="33" t="str">
        <x:v>ALLIED</x:v>
      </x:c>
      <x:c r="B3" s="66" t="str">
        <x:v>https://drive.google.com/file/d/1OH3qLeedqML4eSWtenUISr5kA9q2t3Nh/view?usp=drive_link</x:v>
      </x:c>
      <x:c r="C3" s="34" t="str">
        <x:v>ACTIVE</x:v>
      </x:c>
      <x:c r="D3" s="34" t="str">
        <x:v>ALLIED</x:v>
      </x:c>
      <x:c r="E3" s="34" t="str">
        <x:v>1OH3qLeedqML4eSWtenUISr5kA9q2t3Nh</x:v>
      </x:c>
      <x:c r="F3" s="66" t="str">
        <x:f>IF(E3="","","https://drive.google.com/uc?export=download&amp;id="&amp;E3)</x:f>
        <x:v>https://drive.google.com/uc?export=download&amp;id=1OH3qLeedqML4eSWtenUISr5kA9q2t3Nh</x:v>
      </x:c>
      <x:c r="G3" s="34" t="str">
        <x:f>IF(COUNTIF($B$2:$B$66,B3)&gt;1,"SHARED LINK","")</x:f>
      </x:c>
      <x:c r="H3" s="34" t="str"/>
      <x:c r="I3" s="72" t="n">
        <x:v>46222</x:v>
      </x:c>
    </x:row>
    <x:row r="4" ht="38" customHeight="1">
      <x:c r="A4" s="33" t="str">
        <x:v>ANABOND</x:v>
      </x:c>
      <x:c r="B4" s="66" t="str">
        <x:v>https://drive.google.com/file/d/18u3ucbeuqEnsvG2UeMUQqHA879qG0D5o/view?usp=drive_link</x:v>
      </x:c>
      <x:c r="C4" s="34" t="str">
        <x:v>ACTIVE</x:v>
      </x:c>
      <x:c r="D4" s="34" t="str">
        <x:v>ANABOND</x:v>
      </x:c>
      <x:c r="E4" s="34" t="str">
        <x:v>18u3ucbeuqEnsvG2UeMUQqHA879qG0D5o</x:v>
      </x:c>
      <x:c r="F4" s="66" t="str">
        <x:f>IF(E4="","","https://drive.google.com/uc?export=download&amp;id="&amp;E4)</x:f>
        <x:v>https://drive.google.com/uc?export=download&amp;id=18u3ucbeuqEnsvG2UeMUQqHA879qG0D5o</x:v>
      </x:c>
      <x:c r="G4" s="34" t="str">
        <x:f>IF(COUNTIF($B$2:$B$66,B4)&gt;1,"SHARED LINK","")</x:f>
      </x:c>
      <x:c r="H4" s="34" t="str"/>
      <x:c r="I4" s="72" t="n">
        <x:v>46222</x:v>
      </x:c>
    </x:row>
    <x:row r="5" ht="38" customHeight="1">
      <x:c r="A5" s="33" t="str">
        <x:v>APPOLO</x:v>
      </x:c>
      <x:c r="B5" s="66" t="str">
        <x:v>https://drive.google.com/file/d/1dTjtk3bMGBUcnhA2E6YK3JvH68MRmk6v/view?usp=drive_link</x:v>
      </x:c>
      <x:c r="C5" s="34" t="str">
        <x:v>ACTIVE</x:v>
      </x:c>
      <x:c r="D5" s="34" t="str">
        <x:v>APPOLO</x:v>
      </x:c>
      <x:c r="E5" s="34" t="str">
        <x:v>1dTjtk3bMGBUcnhA2E6YK3JvH68MRmk6v</x:v>
      </x:c>
      <x:c r="F5" s="66" t="str">
        <x:f>IF(E5="","","https://drive.google.com/uc?export=download&amp;id="&amp;E5)</x:f>
        <x:v>https://drive.google.com/uc?export=download&amp;id=1dTjtk3bMGBUcnhA2E6YK3JvH68MRmk6v</x:v>
      </x:c>
      <x:c r="G5" s="34" t="str">
        <x:f>IF(COUNTIF($B$2:$B$66,B5)&gt;1,"SHARED LINK","")</x:f>
      </x:c>
      <x:c r="H5" s="34" t="str"/>
      <x:c r="I5" s="72" t="n">
        <x:v>46222</x:v>
      </x:c>
    </x:row>
    <x:row r="6" ht="38" customHeight="1">
      <x:c r="A6" s="33" t="str">
        <x:v>APRISTIC</x:v>
      </x:c>
      <x:c r="B6" s="66" t="str">
        <x:v>https://drive.google.com/file/d/1CE6Yt6-haXt4wMMAy9Xu6ysrBMn65Etv/view?usp=drive_link</x:v>
      </x:c>
      <x:c r="C6" s="34" t="str">
        <x:v>ACTIVE</x:v>
      </x:c>
      <x:c r="D6" s="34" t="str">
        <x:v>APRISTIC</x:v>
      </x:c>
      <x:c r="E6" s="34" t="str">
        <x:v>1CE6Yt6-haXt4wMMAy9Xu6ysrBMn65Etv</x:v>
      </x:c>
      <x:c r="F6" s="66" t="str">
        <x:f>IF(E6="","","https://drive.google.com/uc?export=download&amp;id="&amp;E6)</x:f>
        <x:v>https://drive.google.com/uc?export=download&amp;id=1CE6Yt6-haXt4wMMAy9Xu6ysrBMn65Etv</x:v>
      </x:c>
      <x:c r="G6" s="34" t="str">
        <x:f>IF(COUNTIF($B$2:$B$66,B6)&gt;1,"SHARED LINK","")</x:f>
      </x:c>
      <x:c r="H6" s="34" t="str"/>
      <x:c r="I6" s="72" t="n">
        <x:v>46222</x:v>
      </x:c>
    </x:row>
    <x:row r="7" ht="38" customHeight="1">
      <x:c r="A7" s="33" t="str">
        <x:v>ASK</x:v>
      </x:c>
      <x:c r="B7" s="66" t="str">
        <x:v>https://drive.google.com/file/d/1U4cSvdNNwsrujGxW8FX48thkpNDYhfEK/view?usp=sharing</x:v>
      </x:c>
      <x:c r="C7" s="34" t="str">
        <x:v>ACTIVE</x:v>
      </x:c>
      <x:c r="D7" s="34" t="str">
        <x:v>ASK</x:v>
      </x:c>
      <x:c r="E7" s="34" t="str">
        <x:v>1U4cSvdNNwsrujGxW8FX48thkpNDYhfEK</x:v>
      </x:c>
      <x:c r="F7" s="66" t="str">
        <x:f>IF(E7="","","https://drive.google.com/uc?export=download&amp;id="&amp;E7)</x:f>
        <x:v>https://drive.google.com/uc?export=download&amp;id=1U4cSvdNNwsrujGxW8FX48thkpNDYhfEK</x:v>
      </x:c>
      <x:c r="G7" s="34" t="str">
        <x:f>IF(COUNTIF($B$2:$B$66,B7)&gt;1,"SHARED LINK","")</x:f>
      </x:c>
      <x:c r="H7" s="34" t="str"/>
      <x:c r="I7" s="72" t="n">
        <x:v>46222</x:v>
      </x:c>
    </x:row>
    <x:row r="8" ht="38" customHeight="1">
      <x:c r="A8" s="33" t="str">
        <x:v>ATOP</x:v>
      </x:c>
      <x:c r="B8" s="66" t="str">
        <x:v>https://drive.google.com/file/d/1M1c1_jgkWLrwyWnMNLH-vTLJEpydjKuT/view?usp=drive_link</x:v>
      </x:c>
      <x:c r="C8" s="34" t="str">
        <x:v>ACTIVE</x:v>
      </x:c>
      <x:c r="D8" s="34" t="str">
        <x:v>ATOP</x:v>
      </x:c>
      <x:c r="E8" s="34" t="str">
        <x:v>1M1c1_jgkWLrwyWnMNLH-vTLJEpydjKuT</x:v>
      </x:c>
      <x:c r="F8" s="66" t="str">
        <x:f>IF(E8="","","https://drive.google.com/uc?export=download&amp;id="&amp;E8)</x:f>
        <x:v>https://drive.google.com/uc?export=download&amp;id=1M1c1_jgkWLrwyWnMNLH-vTLJEpydjKuT</x:v>
      </x:c>
      <x:c r="G8" s="34" t="str">
        <x:f>IF(COUNTIF($B$2:$B$66,B8)&gt;1,"SHARED LINK","")</x:f>
      </x:c>
      <x:c r="H8" s="34" t="str"/>
      <x:c r="I8" s="72" t="n">
        <x:v>46222</x:v>
      </x:c>
    </x:row>
    <x:row r="9" ht="38" customHeight="1">
      <x:c r="A9" s="33" t="str">
        <x:v>BALOON</x:v>
      </x:c>
      <x:c r="B9" s="66" t="str">
        <x:v>https://drive.google.com/file/d/1-zjHWXCzqfiQSwLJjtXjBVjzdf-tbpk4/view?usp=drive_link</x:v>
      </x:c>
      <x:c r="C9" s="34" t="str">
        <x:v>ACTIVE</x:v>
      </x:c>
      <x:c r="D9" s="34" t="str">
        <x:v>BALOON</x:v>
      </x:c>
      <x:c r="E9" s="34" t="str">
        <x:v>1-zjHWXCzqfiQSwLJjtXjBVjzdf-tbpk4</x:v>
      </x:c>
      <x:c r="F9" s="66" t="str">
        <x:f>IF(E9="","","https://drive.google.com/uc?export=download&amp;id="&amp;E9)</x:f>
        <x:v>https://drive.google.com/uc?export=download&amp;id=1-zjHWXCzqfiQSwLJjtXjBVjzdf-tbpk4</x:v>
      </x:c>
      <x:c r="G9" s="34" t="str">
        <x:f>IF(COUNTIF($B$2:$B$66,B9)&gt;1,"SHARED LINK","")</x:f>
      </x:c>
      <x:c r="H9" s="34" t="str"/>
      <x:c r="I9" s="72" t="n">
        <x:v>46222</x:v>
      </x:c>
    </x:row>
    <x:row r="10" ht="38" customHeight="1">
      <x:c r="A10" s="33" t="str">
        <x:v>BLUE BIRD</x:v>
      </x:c>
      <x:c r="B10" s="66" t="str">
        <x:v>https://drive.google.com/file/d/1cfndNsYe4EgyJw1zTcVrt9x1Jfc-yHL9/view?usp=drive_link</x:v>
      </x:c>
      <x:c r="C10" s="34" t="str">
        <x:v>ACTIVE</x:v>
      </x:c>
      <x:c r="D10" s="34" t="str">
        <x:v>BLUEBIRD</x:v>
      </x:c>
      <x:c r="E10" s="34" t="str">
        <x:v>1cfndNsYe4EgyJw1zTcVrt9x1Jfc-yHL9</x:v>
      </x:c>
      <x:c r="F10" s="66" t="str">
        <x:f>IF(E10="","","https://drive.google.com/uc?export=download&amp;id="&amp;E10)</x:f>
        <x:v>https://drive.google.com/uc?export=download&amp;id=1cfndNsYe4EgyJw1zTcVrt9x1Jfc-yHL9</x:v>
      </x:c>
      <x:c r="G10" s="34" t="str">
        <x:f>IF(COUNTIF($B$2:$B$66,B10)&gt;1,"SHARED LINK","")</x:f>
      </x:c>
      <x:c r="H10" s="34" t="str">
        <x:v>Name corrected for Price Book matching</x:v>
      </x:c>
      <x:c r="I10" s="72" t="n">
        <x:v>46222</x:v>
      </x:c>
    </x:row>
    <x:row r="11" ht="38" customHeight="1">
      <x:c r="A11" s="33" t="str">
        <x:v>BRAVO</x:v>
      </x:c>
      <x:c r="B11" s="66" t="str">
        <x:v>https://drive.google.com/file/d/1SKnXfdFGsLaAWflWpZ695fQyGEUBjzUq/view?usp=drive_link</x:v>
      </x:c>
      <x:c r="C11" s="34" t="str">
        <x:v>ACTIVE</x:v>
      </x:c>
      <x:c r="D11" s="34" t="str">
        <x:v>BRAVO</x:v>
      </x:c>
      <x:c r="E11" s="34" t="str">
        <x:v>1SKnXfdFGsLaAWflWpZ695fQyGEUBjzUq</x:v>
      </x:c>
      <x:c r="F11" s="66" t="str">
        <x:f>IF(E11="","","https://drive.google.com/uc?export=download&amp;id="&amp;E11)</x:f>
        <x:v>https://drive.google.com/uc?export=download&amp;id=1SKnXfdFGsLaAWflWpZ695fQyGEUBjzUq</x:v>
      </x:c>
      <x:c r="G11" s="34" t="str">
        <x:f>IF(COUNTIF($B$2:$B$66,B11)&gt;1,"SHARED LINK","")</x:f>
      </x:c>
      <x:c r="H11" s="34" t="str"/>
      <x:c r="I11" s="72" t="n">
        <x:v>46222</x:v>
      </x:c>
    </x:row>
    <x:row r="12" ht="38" customHeight="1">
      <x:c r="A12" s="33" t="str">
        <x:v>BULLDOG</x:v>
      </x:c>
      <x:c r="B12" s="66" t="str">
        <x:v>https://drive.google.com/file/d/10NQt-6GKshtL8OA9-vsY1aJhTuL_nyYh/view?usp=drive_link</x:v>
      </x:c>
      <x:c r="C12" s="34" t="str">
        <x:v>ACTIVE</x:v>
      </x:c>
      <x:c r="D12" s="34" t="str">
        <x:v>BULLDOG</x:v>
      </x:c>
      <x:c r="E12" s="34" t="str">
        <x:v>10NQt-6GKshtL8OA9-vsY1aJhTuL_nyYh</x:v>
      </x:c>
      <x:c r="F12" s="66" t="str">
        <x:f>IF(E12="","","https://drive.google.com/uc?export=download&amp;id="&amp;E12)</x:f>
        <x:v>https://drive.google.com/uc?export=download&amp;id=10NQt-6GKshtL8OA9-vsY1aJhTuL_nyYh</x:v>
      </x:c>
      <x:c r="G12" s="34" t="str">
        <x:f>IF(COUNTIF($B$2:$B$66,B12)&gt;1,"SHARED LINK","")</x:f>
      </x:c>
      <x:c r="H12" s="34" t="str"/>
      <x:c r="I12" s="72" t="n">
        <x:v>46222</x:v>
      </x:c>
    </x:row>
    <x:row r="13" ht="38" customHeight="1">
      <x:c r="A13" s="33" t="str">
        <x:v>CI</x:v>
      </x:c>
      <x:c r="B13" s="66" t="str">
        <x:v>https://drive.google.com/file/d/1mm9FL6Y2eQ2FZhWsBMm6fBtBQcgrFmzi/view?usp=drive_link</x:v>
      </x:c>
      <x:c r="C13" s="34" t="str">
        <x:v>ACTIVE</x:v>
      </x:c>
      <x:c r="D13" s="34" t="str">
        <x:v>CI</x:v>
      </x:c>
      <x:c r="E13" s="34" t="str">
        <x:v>1mm9FL6Y2eQ2FZhWsBMm6fBtBQcgrFmzi</x:v>
      </x:c>
      <x:c r="F13" s="66" t="str">
        <x:f>IF(E13="","","https://drive.google.com/uc?export=download&amp;id="&amp;E13)</x:f>
        <x:v>https://drive.google.com/uc?export=download&amp;id=1mm9FL6Y2eQ2FZhWsBMm6fBtBQcgrFmzi</x:v>
      </x:c>
      <x:c r="G13" s="34" t="str">
        <x:f>IF(COUNTIF($B$2:$B$66,B13)&gt;1,"SHARED LINK","")</x:f>
      </x:c>
      <x:c r="H13" s="34" t="str"/>
      <x:c r="I13" s="72" t="n">
        <x:v>46222</x:v>
      </x:c>
    </x:row>
    <x:row r="14" ht="38" customHeight="1">
      <x:c r="A14" s="33" t="str">
        <x:v>CHAMPION</x:v>
      </x:c>
      <x:c r="B14" s="66" t="str">
        <x:v>https://drive.google.com/file/d/1cnAZFHFk3Ogs_lJyLinycD9fP-aHKS2K/view?usp=drive_link</x:v>
      </x:c>
      <x:c r="C14" s="34" t="str">
        <x:v>ACTIVE</x:v>
      </x:c>
      <x:c r="D14" s="34" t="str">
        <x:v>CHAMPION</x:v>
      </x:c>
      <x:c r="E14" s="34" t="str">
        <x:v>1cnAZFHFk3Ogs_lJyLinycD9fP-aHKS2K</x:v>
      </x:c>
      <x:c r="F14" s="66" t="str">
        <x:f>IF(E14="","","https://drive.google.com/uc?export=download&amp;id="&amp;E14)</x:f>
        <x:v>https://drive.google.com/uc?export=download&amp;id=1cnAZFHFk3Ogs_lJyLinycD9fP-aHKS2K</x:v>
      </x:c>
      <x:c r="G14" s="34" t="str">
        <x:f>IF(COUNTIF($B$2:$B$66,B14)&gt;1,"SHARED LINK","")</x:f>
      </x:c>
      <x:c r="H14" s="34" t="str"/>
      <x:c r="I14" s="72" t="n">
        <x:v>46222</x:v>
      </x:c>
    </x:row>
    <x:row r="15" ht="38" customHeight="1">
      <x:c r="A15" s="33" t="str">
        <x:v>CHENER</x:v>
      </x:c>
      <x:c r="B15" s="66" t="str">
        <x:v>https://drive.google.com/file/d/1qeKm8IqsrJiXnZg0eI0TM7z42ibbvorS/view?usp=drive_link</x:v>
      </x:c>
      <x:c r="C15" s="34" t="str">
        <x:v>ACTIVE</x:v>
      </x:c>
      <x:c r="D15" s="34" t="str">
        <x:v>CHENER</x:v>
      </x:c>
      <x:c r="E15" s="34" t="str">
        <x:v>1qeKm8IqsrJiXnZg0eI0TM7z42ibbvorS</x:v>
      </x:c>
      <x:c r="F15" s="66" t="str">
        <x:f>IF(E15="","","https://drive.google.com/uc?export=download&amp;id="&amp;E15)</x:f>
        <x:v>https://drive.google.com/uc?export=download&amp;id=1qeKm8IqsrJiXnZg0eI0TM7z42ibbvorS</x:v>
      </x:c>
      <x:c r="G15" s="34" t="str">
        <x:f>IF(COUNTIF($B$2:$B$66,B15)&gt;1,"SHARED LINK","")</x:f>
      </x:c>
      <x:c r="H15" s="34" t="str"/>
      <x:c r="I15" s="72" t="n">
        <x:v>46222</x:v>
      </x:c>
    </x:row>
    <x:row r="16" ht="38" customHeight="1">
      <x:c r="A16" s="33" t="str">
        <x:v>CRC</x:v>
      </x:c>
      <x:c r="B16" s="66" t="str">
        <x:v>https://drive.google.com/file/d/1IdjdtAhEkrSWDLvPcOOUYlFbBCarlXXL/view?usp=drive_link</x:v>
      </x:c>
      <x:c r="C16" s="34" t="str">
        <x:v>ACTIVE</x:v>
      </x:c>
      <x:c r="D16" s="34" t="str">
        <x:v>CRC</x:v>
      </x:c>
      <x:c r="E16" s="34" t="str">
        <x:v>1IdjdtAhEkrSWDLvPcOOUYlFbBCarlXXL</x:v>
      </x:c>
      <x:c r="F16" s="66" t="str">
        <x:f>IF(E16="","","https://drive.google.com/uc?export=download&amp;id="&amp;E16)</x:f>
        <x:v>https://drive.google.com/uc?export=download&amp;id=1IdjdtAhEkrSWDLvPcOOUYlFbBCarlXXL</x:v>
      </x:c>
      <x:c r="G16" s="34" t="str">
        <x:f>IF(COUNTIF($B$2:$B$66,B16)&gt;1,"SHARED LINK","")</x:f>
      </x:c>
      <x:c r="H16" s="34" t="str"/>
      <x:c r="I16" s="72" t="n">
        <x:v>46222</x:v>
      </x:c>
    </x:row>
    <x:row r="17" ht="38" customHeight="1">
      <x:c r="A17" s="33" t="str">
        <x:v>DELUX</x:v>
      </x:c>
      <x:c r="B17" s="66" t="str">
        <x:v>https://drive.google.com/file/d/1aqSyX2QjvFeX-t0N_EVMSwVEALpADQ4h/view?usp=drive_link</x:v>
      </x:c>
      <x:c r="C17" s="34" t="str">
        <x:v>ACTIVE</x:v>
      </x:c>
      <x:c r="D17" s="34" t="str">
        <x:v>DELUX</x:v>
      </x:c>
      <x:c r="E17" s="34" t="str">
        <x:v>1aqSyX2QjvFeX-t0N_EVMSwVEALpADQ4h</x:v>
      </x:c>
      <x:c r="F17" s="66" t="str">
        <x:f>IF(E17="","","https://drive.google.com/uc?export=download&amp;id="&amp;E17)</x:f>
        <x:v>https://drive.google.com/uc?export=download&amp;id=1aqSyX2QjvFeX-t0N_EVMSwVEALpADQ4h</x:v>
      </x:c>
      <x:c r="G17" s="34" t="str">
        <x:f>IF(COUNTIF($B$2:$B$66,B17)&gt;1,"SHARED LINK","")</x:f>
      </x:c>
      <x:c r="H17" s="34" t="str"/>
      <x:c r="I17" s="72" t="n">
        <x:v>46222</x:v>
      </x:c>
    </x:row>
    <x:row r="18" ht="38" customHeight="1">
      <x:c r="A18" s="33" t="str">
        <x:v>ELOFIC</x:v>
      </x:c>
      <x:c r="B18" s="66" t="str">
        <x:v>https://drive.google.com/file/d/1Y5ya0ewHbM2D-K9SwQCxHIk8aRQziDYX/view?usp=drive_link</x:v>
      </x:c>
      <x:c r="C18" s="34" t="str">
        <x:v>ACTIVE</x:v>
      </x:c>
      <x:c r="D18" s="34" t="str">
        <x:v>ELOFIC</x:v>
      </x:c>
      <x:c r="E18" s="34" t="str">
        <x:v>1Y5ya0ewHbM2D-K9SwQCxHIk8aRQziDYX</x:v>
      </x:c>
      <x:c r="F18" s="66" t="str">
        <x:f>IF(E18="","","https://drive.google.com/uc?export=download&amp;id="&amp;E18)</x:f>
        <x:v>https://drive.google.com/uc?export=download&amp;id=1Y5ya0ewHbM2D-K9SwQCxHIk8aRQziDYX</x:v>
      </x:c>
      <x:c r="G18" s="34" t="str">
        <x:f>IF(COUNTIF($B$2:$B$66,B18)&gt;1,"SHARED LINK","")</x:f>
      </x:c>
      <x:c r="H18" s="34" t="str"/>
      <x:c r="I18" s="72" t="n">
        <x:v>46222</x:v>
      </x:c>
    </x:row>
    <x:row r="19" ht="38" customHeight="1">
      <x:c r="A19" s="33" t="str">
        <x:v>EMMBROSS</x:v>
      </x:c>
      <x:c r="B19" s="66" t="str">
        <x:v>https://drive.google.com/file/d/1fnpB6Dol0p6XrvspbFJJX-O7qDeFo_oe/view?usp=drive_link</x:v>
      </x:c>
      <x:c r="C19" s="34" t="str">
        <x:v>ACTIVE</x:v>
      </x:c>
      <x:c r="D19" s="34" t="str">
        <x:v>EMMBROSS</x:v>
      </x:c>
      <x:c r="E19" s="34" t="str">
        <x:v>1fnpB6Dol0p6XrvspbFJJX-O7qDeFo_oe</x:v>
      </x:c>
      <x:c r="F19" s="66" t="str">
        <x:f>IF(E19="","","https://drive.google.com/uc?export=download&amp;id="&amp;E19)</x:f>
        <x:v>https://drive.google.com/uc?export=download&amp;id=1fnpB6Dol0p6XrvspbFJJX-O7qDeFo_oe</x:v>
      </x:c>
      <x:c r="G19" s="34" t="str">
        <x:f>IF(COUNTIF($B$2:$B$66,B19)&gt;1,"SHARED LINK","")</x:f>
      </x:c>
      <x:c r="H19" s="34" t="str"/>
      <x:c r="I19" s="72" t="n">
        <x:v>46222</x:v>
      </x:c>
    </x:row>
    <x:row r="20" ht="38" customHeight="1">
      <x:c r="A20" s="33" t="str">
        <x:v>FENNER</x:v>
      </x:c>
      <x:c r="B20" s="66" t="str">
        <x:v>https://drive.google.com/file/d/1Qa-nX_ZzBqUEO3BenfZLixc2rBmH-GZV/view?usp=drive_link</x:v>
      </x:c>
      <x:c r="C20" s="34" t="str">
        <x:v>ACTIVE</x:v>
      </x:c>
      <x:c r="D20" s="34" t="str">
        <x:v>FENER</x:v>
      </x:c>
      <x:c r="E20" s="34" t="str">
        <x:v>1Qa-nX_ZzBqUEO3BenfZLixc2rBmH-GZV</x:v>
      </x:c>
      <x:c r="F20" s="66" t="str">
        <x:f>IF(E20="","","https://drive.google.com/uc?export=download&amp;id="&amp;E20)</x:f>
        <x:v>https://drive.google.com/uc?export=download&amp;id=1Qa-nX_ZzBqUEO3BenfZLixc2rBmH-GZV</x:v>
      </x:c>
      <x:c r="G20" s="34" t="str">
        <x:f>IF(COUNTIF($B$2:$B$66,B20)&gt;1,"SHARED LINK","")</x:f>
      </x:c>
      <x:c r="H20" s="34" t="str">
        <x:v>Name corrected for Price Book matching</x:v>
      </x:c>
      <x:c r="I20" s="72" t="n">
        <x:v>46222</x:v>
      </x:c>
    </x:row>
    <x:row r="21" ht="38" customHeight="1">
      <x:c r="A21" s="33" t="str">
        <x:v>GAUTAM</x:v>
      </x:c>
      <x:c r="B21" s="66" t="str">
        <x:v>https://drive.google.com/file/d/1TCCbn4fpxTiEbJgtOaRwijNU-LM1HXRb/view?usp=drive_link</x:v>
      </x:c>
      <x:c r="C21" s="34" t="str">
        <x:v>ACTIVE</x:v>
      </x:c>
      <x:c r="D21" s="34" t="str">
        <x:v>GAUTAM</x:v>
      </x:c>
      <x:c r="E21" s="34" t="str">
        <x:v>1TCCbn4fpxTiEbJgtOaRwijNU-LM1HXRb</x:v>
      </x:c>
      <x:c r="F21" s="66" t="str">
        <x:f>IF(E21="","","https://drive.google.com/uc?export=download&amp;id="&amp;E21)</x:f>
        <x:v>https://drive.google.com/uc?export=download&amp;id=1TCCbn4fpxTiEbJgtOaRwijNU-LM1HXRb</x:v>
      </x:c>
      <x:c r="G21" s="34" t="str">
        <x:f>IF(COUNTIF($B$2:$B$66,B21)&gt;1,"SHARED LINK","")</x:f>
      </x:c>
      <x:c r="H21" s="34" t="str"/>
      <x:c r="I21" s="72" t="n">
        <x:v>46222</x:v>
      </x:c>
    </x:row>
    <x:row r="22" ht="38" customHeight="1">
      <x:c r="A22" s="33" t="str">
        <x:v>GAUTAM BT</x:v>
      </x:c>
      <x:c r="B22" s="66" t="str">
        <x:v>https://drive.google.com/file/d/1Sud3EaewzaVwYwU_DFkNrUDNi16-UQgK/view?usp=drive_link</x:v>
      </x:c>
      <x:c r="C22" s="34" t="str">
        <x:v>ACTIVE</x:v>
      </x:c>
      <x:c r="D22" s="34" t="str">
        <x:v>GAUTAM BT</x:v>
      </x:c>
      <x:c r="E22" s="34" t="str">
        <x:v>1Sud3EaewzaVwYwU_DFkNrUDNi16-UQgK</x:v>
      </x:c>
      <x:c r="F22" s="66" t="str">
        <x:f>IF(E22="","","https://drive.google.com/uc?export=download&amp;id="&amp;E22)</x:f>
        <x:v>https://drive.google.com/uc?export=download&amp;id=1Sud3EaewzaVwYwU_DFkNrUDNi16-UQgK</x:v>
      </x:c>
      <x:c r="G22" s="34" t="str">
        <x:f>IF(COUNTIF($B$2:$B$66,B22)&gt;1,"SHARED LINK","")</x:f>
      </x:c>
      <x:c r="H22" s="34" t="str"/>
      <x:c r="I22" s="72" t="n">
        <x:v>46222</x:v>
      </x:c>
    </x:row>
    <x:row r="23" ht="38" customHeight="1">
      <x:c r="A23" s="33" t="str">
        <x:v>GCPA</x:v>
      </x:c>
      <x:c r="B23" s="66" t="str">
        <x:v>https://drive.google.com/file/d/1wfFsTsETHF2ovEAh-FVpG0H2JA3s1Foa/view?usp=drive_link</x:v>
      </x:c>
      <x:c r="C23" s="34" t="str">
        <x:v>ACTIVE</x:v>
      </x:c>
      <x:c r="D23" s="34" t="str">
        <x:v>GCPA</x:v>
      </x:c>
      <x:c r="E23" s="34" t="str">
        <x:v>1wfFsTsETHF2ovEAh-FVpG0H2JA3s1Foa</x:v>
      </x:c>
      <x:c r="F23" s="66" t="str">
        <x:f>IF(E23="","","https://drive.google.com/uc?export=download&amp;id="&amp;E23)</x:f>
        <x:v>https://drive.google.com/uc?export=download&amp;id=1wfFsTsETHF2ovEAh-FVpG0H2JA3s1Foa</x:v>
      </x:c>
      <x:c r="G23" s="34" t="str">
        <x:f>IF(COUNTIF($B$2:$B$66,B23)&gt;1,"SHARED LINK","")</x:f>
      </x:c>
      <x:c r="H23" s="34" t="str"/>
      <x:c r="I23" s="72" t="n">
        <x:v>46222</x:v>
      </x:c>
    </x:row>
    <x:row r="24" ht="38" customHeight="1">
      <x:c r="A24" s="33" t="str">
        <x:v>GF</x:v>
      </x:c>
      <x:c r="B24" s="66" t="str">
        <x:v>https://drive.google.com/file/d/1X0BsIBEuIea-VQx5mqY31Q61f6xXHEEx/view?usp=drive_link</x:v>
      </x:c>
      <x:c r="C24" s="34" t="str">
        <x:v>ACTIVE</x:v>
      </x:c>
      <x:c r="D24" s="34" t="str">
        <x:v>GF</x:v>
      </x:c>
      <x:c r="E24" s="34" t="str">
        <x:v>1X0BsIBEuIea-VQx5mqY31Q61f6xXHEEx</x:v>
      </x:c>
      <x:c r="F24" s="66" t="str">
        <x:f>IF(E24="","","https://drive.google.com/uc?export=download&amp;id="&amp;E24)</x:f>
        <x:v>https://drive.google.com/uc?export=download&amp;id=1X0BsIBEuIea-VQx5mqY31Q61f6xXHEEx</x:v>
      </x:c>
      <x:c r="G24" s="34" t="str">
        <x:f>IF(COUNTIF($B$2:$B$66,B24)&gt;1,"SHARED LINK","")</x:f>
      </x:c>
      <x:c r="H24" s="34" t="str"/>
      <x:c r="I24" s="72" t="n">
        <x:v>46222</x:v>
      </x:c>
    </x:row>
    <x:row r="25" ht="38" customHeight="1">
      <x:c r="A25" s="33" t="str">
        <x:v>GMT</x:v>
      </x:c>
      <x:c r="B25" s="66" t="str">
        <x:v>https://drive.google.com/file/d/1kwQIreTK9JV26ekCvkRlgb2AUc0NOGbe/view?usp=drive_link</x:v>
      </x:c>
      <x:c r="C25" s="34" t="str">
        <x:v>ACTIVE</x:v>
      </x:c>
      <x:c r="D25" s="34" t="str">
        <x:v>GMT</x:v>
      </x:c>
      <x:c r="E25" s="34" t="str">
        <x:v>1kwQIreTK9JV26ekCvkRlgb2AUc0NOGbe</x:v>
      </x:c>
      <x:c r="F25" s="66" t="str">
        <x:f>IF(E25="","","https://drive.google.com/uc?export=download&amp;id="&amp;E25)</x:f>
        <x:v>https://drive.google.com/uc?export=download&amp;id=1kwQIreTK9JV26ekCvkRlgb2AUc0NOGbe</x:v>
      </x:c>
      <x:c r="G25" s="34" t="str">
        <x:f>IF(COUNTIF($B$2:$B$66,B25)&gt;1,"SHARED LINK","")</x:f>
      </x:c>
      <x:c r="H25" s="34" t="str"/>
      <x:c r="I25" s="72" t="n">
        <x:v>46222</x:v>
      </x:c>
    </x:row>
    <x:row r="26" ht="38" customHeight="1">
      <x:c r="A26" s="33" t="str">
        <x:v>HALDEX</x:v>
      </x:c>
      <x:c r="B26" s="66" t="str">
        <x:v>https://drive.google.com/file/d/1sB-NALHWcRTbBw8Mo9hbQ6GbFgYUrI88/view?usp=drive_link</x:v>
      </x:c>
      <x:c r="C26" s="34" t="str">
        <x:v>ACTIVE</x:v>
      </x:c>
      <x:c r="D26" s="34" t="str">
        <x:v>HALDEX</x:v>
      </x:c>
      <x:c r="E26" s="34" t="str">
        <x:v>1sB-NALHWcRTbBw8Mo9hbQ6GbFgYUrI88</x:v>
      </x:c>
      <x:c r="F26" s="66" t="str">
        <x:f>IF(E26="","","https://drive.google.com/uc?export=download&amp;id="&amp;E26)</x:f>
        <x:v>https://drive.google.com/uc?export=download&amp;id=1sB-NALHWcRTbBw8Mo9hbQ6GbFgYUrI88</x:v>
      </x:c>
      <x:c r="G26" s="34" t="str">
        <x:f>IF(COUNTIF($B$2:$B$66,B26)&gt;1,"SHARED LINK","")</x:f>
      </x:c>
      <x:c r="H26" s="34" t="str"/>
      <x:c r="I26" s="72" t="n">
        <x:v>46222</x:v>
      </x:c>
    </x:row>
    <x:row r="27" ht="38" customHeight="1">
      <x:c r="A27" s="33" t="str">
        <x:v>JHAVERI</x:v>
      </x:c>
      <x:c r="B27" s="66" t="str">
        <x:v>https://drive.google.com/file/d/1oQhXIeRmNqKZWCduLyDCSUpfhmwxxxd-/view?usp=drive_link</x:v>
      </x:c>
      <x:c r="C27" s="34" t="str">
        <x:v>ACTIVE</x:v>
      </x:c>
      <x:c r="D27" s="34" t="str">
        <x:v>JHAVERI</x:v>
      </x:c>
      <x:c r="E27" s="34" t="str">
        <x:v>1oQhXIeRmNqKZWCduLyDCSUpfhmwxxxd-</x:v>
      </x:c>
      <x:c r="F27" s="66" t="str">
        <x:f>IF(E27="","","https://drive.google.com/uc?export=download&amp;id="&amp;E27)</x:f>
        <x:v>https://drive.google.com/uc?export=download&amp;id=1oQhXIeRmNqKZWCduLyDCSUpfhmwxxxd-</x:v>
      </x:c>
      <x:c r="G27" s="34" t="str">
        <x:f>IF(COUNTIF($B$2:$B$66,B27)&gt;1,"SHARED LINK","")</x:f>
      </x:c>
      <x:c r="H27" s="34" t="str"/>
      <x:c r="I27" s="72" t="n">
        <x:v>46222</x:v>
      </x:c>
    </x:row>
    <x:row r="28" ht="38" customHeight="1">
      <x:c r="A28" s="33" t="str">
        <x:v>JM TOMI</x:v>
      </x:c>
      <x:c r="B28" s="66" t="str">
        <x:v>https://drive.google.com/file/d/19G9V4xY0kcoPXKBWoAn6pp5wmbLv5N39/view?usp=drive_link</x:v>
      </x:c>
      <x:c r="C28" s="34" t="str">
        <x:v>ACTIVE</x:v>
      </x:c>
      <x:c r="D28" s="34" t="str">
        <x:v>JM TOMI</x:v>
      </x:c>
      <x:c r="E28" s="34" t="str">
        <x:v>19G9V4xY0kcoPXKBWoAn6pp5wmbLv5N39</x:v>
      </x:c>
      <x:c r="F28" s="66" t="str">
        <x:f>IF(E28="","","https://drive.google.com/uc?export=download&amp;id="&amp;E28)</x:f>
        <x:v>https://drive.google.com/uc?export=download&amp;id=19G9V4xY0kcoPXKBWoAn6pp5wmbLv5N39</x:v>
      </x:c>
      <x:c r="G28" s="34" t="str">
        <x:f>IF(COUNTIF($B$2:$B$66,B28)&gt;1,"SHARED LINK","")</x:f>
        <x:v>SHARED LINK</x:v>
      </x:c>
      <x:c r="H28" s="34" t="str"/>
      <x:c r="I28" s="72" t="n">
        <x:v>46222</x:v>
      </x:c>
    </x:row>
    <x:row r="29" ht="38" customHeight="1">
      <x:c r="A29" s="33" t="str">
        <x:v>KBX</x:v>
      </x:c>
      <x:c r="B29" s="66" t="str">
        <x:v>https://drive.google.com/file/d/102lopQIHSLnbQEIsv9T_EwIqRct62EfN/view?usp=drive_link</x:v>
      </x:c>
      <x:c r="C29" s="34" t="str">
        <x:v>ACTIVE</x:v>
      </x:c>
      <x:c r="D29" s="34" t="str">
        <x:v>KBX</x:v>
      </x:c>
      <x:c r="E29" s="34" t="str">
        <x:v>102lopQIHSLnbQEIsv9T_EwIqRct62EfN</x:v>
      </x:c>
      <x:c r="F29" s="66" t="str">
        <x:f>IF(E29="","","https://drive.google.com/uc?export=download&amp;id="&amp;E29)</x:f>
        <x:v>https://drive.google.com/uc?export=download&amp;id=102lopQIHSLnbQEIsv9T_EwIqRct62EfN</x:v>
      </x:c>
      <x:c r="G29" s="34" t="str">
        <x:f>IF(COUNTIF($B$2:$B$66,B29)&gt;1,"SHARED LINK","")</x:f>
      </x:c>
      <x:c r="H29" s="34" t="str"/>
      <x:c r="I29" s="72" t="n">
        <x:v>46222</x:v>
      </x:c>
    </x:row>
    <x:row r="30" ht="38" customHeight="1">
      <x:c r="A30" s="33" t="str">
        <x:v>KD</x:v>
      </x:c>
      <x:c r="B30" s="66" t="str">
        <x:v>https://drive.google.com/file/d/1WJx3GEWel-UdBw_nraLRoNeOrZoumMQc/view?usp=drive_link</x:v>
      </x:c>
      <x:c r="C30" s="34" t="str">
        <x:v>ACTIVE</x:v>
      </x:c>
      <x:c r="D30" s="34" t="str">
        <x:v>KD</x:v>
      </x:c>
      <x:c r="E30" s="34" t="str">
        <x:v>1WJx3GEWel-UdBw_nraLRoNeOrZoumMQc</x:v>
      </x:c>
      <x:c r="F30" s="66" t="str">
        <x:f>IF(E30="","","https://drive.google.com/uc?export=download&amp;id="&amp;E30)</x:f>
        <x:v>https://drive.google.com/uc?export=download&amp;id=1WJx3GEWel-UdBw_nraLRoNeOrZoumMQc</x:v>
      </x:c>
      <x:c r="G30" s="34" t="str">
        <x:f>IF(COUNTIF($B$2:$B$66,B30)&gt;1,"SHARED LINK","")</x:f>
      </x:c>
      <x:c r="H30" s="34" t="str"/>
      <x:c r="I30" s="72" t="n">
        <x:v>46222</x:v>
      </x:c>
    </x:row>
    <x:row r="31" ht="38" customHeight="1">
      <x:c r="A31" s="33" t="str">
        <x:v>KLIPWEL</x:v>
      </x:c>
      <x:c r="B31" s="66" t="str">
        <x:v>https://drive.google.com/file/d/14gGluhDCJ7W9XkrCS5cANbLXi7GmUjjc/view?usp=drive_link</x:v>
      </x:c>
      <x:c r="C31" s="34" t="str">
        <x:v>ACTIVE</x:v>
      </x:c>
      <x:c r="D31" s="34" t="str">
        <x:v>KLIPWEL</x:v>
      </x:c>
      <x:c r="E31" s="34" t="str">
        <x:v>14gGluhDCJ7W9XkrCS5cANbLXi7GmUjjc</x:v>
      </x:c>
      <x:c r="F31" s="66" t="str">
        <x:f>IF(E31="","","https://drive.google.com/uc?export=download&amp;id="&amp;E31)</x:f>
        <x:v>https://drive.google.com/uc?export=download&amp;id=14gGluhDCJ7W9XkrCS5cANbLXi7GmUjjc</x:v>
      </x:c>
      <x:c r="G31" s="34" t="str">
        <x:f>IF(COUNTIF($B$2:$B$66,B31)&gt;1,"SHARED LINK","")</x:f>
      </x:c>
      <x:c r="H31" s="34" t="str"/>
      <x:c r="I31" s="72" t="n">
        <x:v>46222</x:v>
      </x:c>
    </x:row>
    <x:row r="32" ht="38" customHeight="1">
      <x:c r="A32" s="33" t="str">
        <x:v>LAPOX</x:v>
      </x:c>
      <x:c r="B32" s="66" t="str">
        <x:v>https://drive.google.com/file/d/1b050sXpyzo_ryx2P6uX4-AqhmE9cYlq-/view?usp=drive_link</x:v>
      </x:c>
      <x:c r="C32" s="34" t="str">
        <x:v>ACTIVE</x:v>
      </x:c>
      <x:c r="D32" s="34" t="str">
        <x:v>LAPOX</x:v>
      </x:c>
      <x:c r="E32" s="34" t="str">
        <x:v>1b050sXpyzo_ryx2P6uX4-AqhmE9cYlq-</x:v>
      </x:c>
      <x:c r="F32" s="66" t="str">
        <x:f>IF(E32="","","https://drive.google.com/uc?export=download&amp;id="&amp;E32)</x:f>
        <x:v>https://drive.google.com/uc?export=download&amp;id=1b050sXpyzo_ryx2P6uX4-AqhmE9cYlq-</x:v>
      </x:c>
      <x:c r="G32" s="34" t="str">
        <x:f>IF(COUNTIF($B$2:$B$66,B32)&gt;1,"SHARED LINK","")</x:f>
      </x:c>
      <x:c r="H32" s="34" t="str"/>
      <x:c r="I32" s="72" t="n">
        <x:v>46222</x:v>
      </x:c>
    </x:row>
    <x:row r="33" ht="38" customHeight="1">
      <x:c r="A33" s="33" t="str">
        <x:v>LUMAN</x:v>
      </x:c>
      <x:c r="B33" s="66" t="str">
        <x:v>https://drive.google.com/file/d/1KjQ8Wmonh_pmSyNHwztDVTwBxTCLYR-k/view?usp=drive_link</x:v>
      </x:c>
      <x:c r="C33" s="34" t="str">
        <x:v>ACTIVE</x:v>
      </x:c>
      <x:c r="D33" s="34" t="str">
        <x:v>LUMAN</x:v>
      </x:c>
      <x:c r="E33" s="34" t="str">
        <x:v>1KjQ8Wmonh_pmSyNHwztDVTwBxTCLYR-k</x:v>
      </x:c>
      <x:c r="F33" s="66" t="str">
        <x:f>IF(E33="","","https://drive.google.com/uc?export=download&amp;id="&amp;E33)</x:f>
        <x:v>https://drive.google.com/uc?export=download&amp;id=1KjQ8Wmonh_pmSyNHwztDVTwBxTCLYR-k</x:v>
      </x:c>
      <x:c r="G33" s="34" t="str">
        <x:f>IF(COUNTIF($B$2:$B$66,B33)&gt;1,"SHARED LINK","")</x:f>
      </x:c>
      <x:c r="H33" s="34" t="str"/>
      <x:c r="I33" s="72" t="n">
        <x:v>46222</x:v>
      </x:c>
    </x:row>
    <x:row r="34" ht="38" customHeight="1">
      <x:c r="A34" s="33" t="str">
        <x:v>MANN</x:v>
      </x:c>
      <x:c r="B34" s="66" t="str">
        <x:v>https://drive.google.com/file/d/1HcSSOsuPDfWgV-cCScPUgeE4bvBCEZv9/view?usp=drive_link</x:v>
      </x:c>
      <x:c r="C34" s="34" t="str">
        <x:v>ACTIVE</x:v>
      </x:c>
      <x:c r="D34" s="34" t="str">
        <x:v>MANN</x:v>
      </x:c>
      <x:c r="E34" s="34" t="str">
        <x:v>1HcSSOsuPDfWgV-cCScPUgeE4bvBCEZv9</x:v>
      </x:c>
      <x:c r="F34" s="66" t="str">
        <x:f>IF(E34="","","https://drive.google.com/uc?export=download&amp;id="&amp;E34)</x:f>
        <x:v>https://drive.google.com/uc?export=download&amp;id=1HcSSOsuPDfWgV-cCScPUgeE4bvBCEZv9</x:v>
      </x:c>
      <x:c r="G34" s="34" t="str">
        <x:f>IF(COUNTIF($B$2:$B$66,B34)&gt;1,"SHARED LINK","")</x:f>
        <x:v>SHARED LINK</x:v>
      </x:c>
      <x:c r="H34" s="34" t="str"/>
      <x:c r="I34" s="72" t="n">
        <x:v>46222</x:v>
      </x:c>
    </x:row>
    <x:row r="35" ht="38" customHeight="1">
      <x:c r="A35" s="33" t="str">
        <x:v>WIX</x:v>
      </x:c>
      <x:c r="B35" s="66" t="str">
        <x:v>https://drive.google.com/file/d/1HcSSOsuPDfWgV-cCScPUgeE4bvBCEZv9/view?usp=drive_link</x:v>
      </x:c>
      <x:c r="C35" s="34" t="str">
        <x:v>ACTIVE</x:v>
      </x:c>
      <x:c r="D35" s="34" t="str">
        <x:v>WIX</x:v>
      </x:c>
      <x:c r="E35" s="34" t="str">
        <x:v>1HcSSOsuPDfWgV-cCScPUgeE4bvBCEZv9</x:v>
      </x:c>
      <x:c r="F35" s="66" t="str">
        <x:f>IF(E35="","","https://drive.google.com/uc?export=download&amp;id="&amp;E35)</x:f>
        <x:v>https://drive.google.com/uc?export=download&amp;id=1HcSSOsuPDfWgV-cCScPUgeE4bvBCEZv9</x:v>
      </x:c>
      <x:c r="G35" s="34" t="str">
        <x:f>IF(COUNTIF($B$2:$B$66,B35)&gt;1,"SHARED LINK","")</x:f>
        <x:v>SHARED LINK</x:v>
      </x:c>
      <x:c r="H35" s="34" t="str"/>
      <x:c r="I35" s="72" t="n">
        <x:v>46222</x:v>
      </x:c>
    </x:row>
    <x:row r="36" ht="38" customHeight="1">
      <x:c r="A36" s="33" t="str">
        <x:v>MEKO</x:v>
      </x:c>
      <x:c r="B36" s="66" t="str">
        <x:v>https://drive.google.com/file/d/1eiWp7f6Xo3FSbJMG4ZwZXSnbk8tZiFaR/view?usp=drive_link</x:v>
      </x:c>
      <x:c r="C36" s="34" t="str">
        <x:v>ACTIVE</x:v>
      </x:c>
      <x:c r="D36" s="34" t="str">
        <x:v>MEKO</x:v>
      </x:c>
      <x:c r="E36" s="34" t="str">
        <x:v>1eiWp7f6Xo3FSbJMG4ZwZXSnbk8tZiFaR</x:v>
      </x:c>
      <x:c r="F36" s="66" t="str">
        <x:f>IF(E36="","","https://drive.google.com/uc?export=download&amp;id="&amp;E36)</x:f>
        <x:v>https://drive.google.com/uc?export=download&amp;id=1eiWp7f6Xo3FSbJMG4ZwZXSnbk8tZiFaR</x:v>
      </x:c>
      <x:c r="G36" s="34" t="str">
        <x:f>IF(COUNTIF($B$2:$B$66,B36)&gt;1,"SHARED LINK","")</x:f>
      </x:c>
      <x:c r="H36" s="34" t="str"/>
      <x:c r="I36" s="72" t="n">
        <x:v>46222</x:v>
      </x:c>
    </x:row>
    <x:row r="37" ht="38" customHeight="1">
      <x:c r="A37" s="33" t="str">
        <x:v>MK GOLD</x:v>
      </x:c>
      <x:c r="B37" s="66" t="str">
        <x:v>https://drive.google.com/file/d/1uZJQhAgJkx2IvN_L2OQKfc5sdSsExgUt/view?usp=drive_link</x:v>
      </x:c>
      <x:c r="C37" s="34" t="str">
        <x:v>ACTIVE</x:v>
      </x:c>
      <x:c r="D37" s="34" t="str">
        <x:v>MK GOLD</x:v>
      </x:c>
      <x:c r="E37" s="34" t="str">
        <x:v>1uZJQhAgJkx2IvN_L2OQKfc5sdSsExgUt</x:v>
      </x:c>
      <x:c r="F37" s="66" t="str">
        <x:f>IF(E37="","","https://drive.google.com/uc?export=download&amp;id="&amp;E37)</x:f>
        <x:v>https://drive.google.com/uc?export=download&amp;id=1uZJQhAgJkx2IvN_L2OQKfc5sdSsExgUt</x:v>
      </x:c>
      <x:c r="G37" s="34" t="str">
        <x:f>IF(COUNTIF($B$2:$B$66,B37)&gt;1,"SHARED LINK","")</x:f>
      </x:c>
      <x:c r="H37" s="34" t="str"/>
      <x:c r="I37" s="72" t="n">
        <x:v>46222</x:v>
      </x:c>
    </x:row>
    <x:row r="38" ht="38" customHeight="1">
      <x:c r="A38" s="33" t="str">
        <x:v>MONROE</x:v>
      </x:c>
      <x:c r="B38" s="66" t="str">
        <x:v>https://drive.google.com/file/d/11BD2jZIsNFkcvyeK_OodKLLpjd3bOYGY/view?usp=drive_link</x:v>
      </x:c>
      <x:c r="C38" s="34" t="str">
        <x:v>ACTIVE</x:v>
      </x:c>
      <x:c r="D38" s="34" t="str">
        <x:v>MONROE</x:v>
      </x:c>
      <x:c r="E38" s="34" t="str">
        <x:v>11BD2jZIsNFkcvyeK_OodKLLpjd3bOYGY</x:v>
      </x:c>
      <x:c r="F38" s="66" t="str">
        <x:f>IF(E38="","","https://drive.google.com/uc?export=download&amp;id="&amp;E38)</x:f>
        <x:v>https://drive.google.com/uc?export=download&amp;id=11BD2jZIsNFkcvyeK_OodKLLpjd3bOYGY</x:v>
      </x:c>
      <x:c r="G38" s="34" t="str">
        <x:f>IF(COUNTIF($B$2:$B$66,B38)&gt;1,"SHARED LINK","")</x:f>
      </x:c>
      <x:c r="H38" s="34" t="str"/>
      <x:c r="I38" s="72" t="n">
        <x:v>46222</x:v>
      </x:c>
    </x:row>
    <x:row r="39" ht="38" customHeight="1">
      <x:c r="A39" s="33" t="str">
        <x:v>NEOLITE</x:v>
      </x:c>
      <x:c r="B39" s="66" t="str">
        <x:v>https://drive.google.com/file/d/1viSKbtpRxI0A1DYIbKfIyGD54s07ypsq/view?usp=drive_link</x:v>
      </x:c>
      <x:c r="C39" s="34" t="str">
        <x:v>ACTIVE</x:v>
      </x:c>
      <x:c r="D39" s="34" t="str">
        <x:v>NEOLITE</x:v>
      </x:c>
      <x:c r="E39" s="34" t="str">
        <x:v>1viSKbtpRxI0A1DYIbKfIyGD54s07ypsq</x:v>
      </x:c>
      <x:c r="F39" s="66" t="str">
        <x:f>IF(E39="","","https://drive.google.com/uc?export=download&amp;id="&amp;E39)</x:f>
        <x:v>https://drive.google.com/uc?export=download&amp;id=1viSKbtpRxI0A1DYIbKfIyGD54s07ypsq</x:v>
      </x:c>
      <x:c r="G39" s="34" t="str">
        <x:f>IF(COUNTIF($B$2:$B$66,B39)&gt;1,"SHARED LINK","")</x:f>
      </x:c>
      <x:c r="H39" s="34" t="str"/>
      <x:c r="I39" s="72" t="n">
        <x:v>46222</x:v>
      </x:c>
    </x:row>
    <x:row r="40" ht="38" customHeight="1">
      <x:c r="A40" s="33" t="str">
        <x:v>NGK</x:v>
      </x:c>
      <x:c r="B40" s="66" t="str">
        <x:v>https://drive.google.com/file/d/1DmgzxZBPk6csP-zmjv71shpIzTodvmyj/view?usp=drive_link</x:v>
      </x:c>
      <x:c r="C40" s="34" t="str">
        <x:v>ACTIVE</x:v>
      </x:c>
      <x:c r="D40" s="34" t="str">
        <x:v>NGK</x:v>
      </x:c>
      <x:c r="E40" s="34" t="str">
        <x:v>1DmgzxZBPk6csP-zmjv71shpIzTodvmyj</x:v>
      </x:c>
      <x:c r="F40" s="66" t="str">
        <x:f>IF(E40="","","https://drive.google.com/uc?export=download&amp;id="&amp;E40)</x:f>
        <x:v>https://drive.google.com/uc?export=download&amp;id=1DmgzxZBPk6csP-zmjv71shpIzTodvmyj</x:v>
      </x:c>
      <x:c r="G40" s="34" t="str">
        <x:f>IF(COUNTIF($B$2:$B$66,B40)&gt;1,"SHARED LINK","")</x:f>
      </x:c>
      <x:c r="H40" s="34" t="str"/>
      <x:c r="I40" s="72" t="n">
        <x:v>46222</x:v>
      </x:c>
    </x:row>
    <x:row r="41" ht="38" customHeight="1">
      <x:c r="A41" s="33" t="str">
        <x:v>NOVEX</x:v>
      </x:c>
      <x:c r="B41" s="66" t="str">
        <x:v>https://drive.google.com/file/d/1il9LcnbAtyvH1BNh7nVi16Iqdu3Binhd/view?usp=drive_link</x:v>
      </x:c>
      <x:c r="C41" s="34" t="str">
        <x:v>ACTIVE</x:v>
      </x:c>
      <x:c r="D41" s="34" t="str">
        <x:v>NOVEX</x:v>
      </x:c>
      <x:c r="E41" s="34" t="str">
        <x:v>1il9LcnbAtyvH1BNh7nVi16Iqdu3Binhd</x:v>
      </x:c>
      <x:c r="F41" s="66" t="str">
        <x:f>IF(E41="","","https://drive.google.com/uc?export=download&amp;id="&amp;E41)</x:f>
        <x:v>https://drive.google.com/uc?export=download&amp;id=1il9LcnbAtyvH1BNh7nVi16Iqdu3Binhd</x:v>
      </x:c>
      <x:c r="G41" s="34" t="str">
        <x:f>IF(COUNTIF($B$2:$B$66,B41)&gt;1,"SHARED LINK","")</x:f>
      </x:c>
      <x:c r="H41" s="34" t="str"/>
      <x:c r="I41" s="72" t="n">
        <x:v>46222</x:v>
      </x:c>
    </x:row>
    <x:row r="42" ht="38" customHeight="1">
      <x:c r="A42" s="33" t="str">
        <x:v>OEPLUS</x:v>
      </x:c>
      <x:c r="B42" s="66" t="str">
        <x:v>https://drive.google.com/file/d/1wPJlqesYT8JFAW-W5D7tqbo66PwWKJ_-/view?usp=drive_link</x:v>
      </x:c>
      <x:c r="C42" s="34" t="str">
        <x:v>ACTIVE</x:v>
      </x:c>
      <x:c r="D42" s="34" t="str">
        <x:v>OEPLUS</x:v>
      </x:c>
      <x:c r="E42" s="34" t="str">
        <x:v>1wPJlqesYT8JFAW-W5D7tqbo66PwWKJ_-</x:v>
      </x:c>
      <x:c r="F42" s="66" t="str">
        <x:f>IF(E42="","","https://drive.google.com/uc?export=download&amp;id="&amp;E42)</x:f>
        <x:v>https://drive.google.com/uc?export=download&amp;id=1wPJlqesYT8JFAW-W5D7tqbo66PwWKJ_-</x:v>
      </x:c>
      <x:c r="G42" s="34" t="str">
        <x:f>IF(COUNTIF($B$2:$B$66,B42)&gt;1,"SHARED LINK","")</x:f>
        <x:v>SHARED LINK</x:v>
      </x:c>
      <x:c r="H42" s="34" t="str"/>
      <x:c r="I42" s="72" t="n">
        <x:v>46222</x:v>
      </x:c>
    </x:row>
    <x:row r="43" ht="38" customHeight="1">
      <x:c r="A43" s="33" t="str">
        <x:v>OLMA</x:v>
      </x:c>
      <x:c r="B43" s="66" t="str">
        <x:v>https://drive.google.com/file/d/1wPJlqesYT8JFAW-W5D7tqbo66PwWKJ_-/view?usp=drive_link</x:v>
      </x:c>
      <x:c r="C43" s="34" t="str">
        <x:v>ACTIVE</x:v>
      </x:c>
      <x:c r="D43" s="34" t="str">
        <x:v>OLMA</x:v>
      </x:c>
      <x:c r="E43" s="34" t="str">
        <x:v>1wPJlqesYT8JFAW-W5D7tqbo66PwWKJ_-</x:v>
      </x:c>
      <x:c r="F43" s="66" t="str">
        <x:f>IF(E43="","","https://drive.google.com/uc?export=download&amp;id="&amp;E43)</x:f>
        <x:v>https://drive.google.com/uc?export=download&amp;id=1wPJlqesYT8JFAW-W5D7tqbo66PwWKJ_-</x:v>
      </x:c>
      <x:c r="G43" s="34" t="str">
        <x:f>IF(COUNTIF($B$2:$B$66,B43)&gt;1,"SHARED LINK","")</x:f>
        <x:v>SHARED LINK</x:v>
      </x:c>
      <x:c r="H43" s="34" t="str"/>
      <x:c r="I43" s="72" t="n">
        <x:v>46222</x:v>
      </x:c>
    </x:row>
    <x:row r="44" ht="38" customHeight="1">
      <x:c r="A44" s="33" t="str">
        <x:v>OSRAM</x:v>
      </x:c>
      <x:c r="B44" s="66" t="str">
        <x:v>https://drive.google.com/file/d/1x6-yBBIJDXC7wjb8mAuH6xZwlTRBVVdV/view?usp=drive_link</x:v>
      </x:c>
      <x:c r="C44" s="34" t="str">
        <x:v>ACTIVE</x:v>
      </x:c>
      <x:c r="D44" s="34" t="str">
        <x:v>OSRAM</x:v>
      </x:c>
      <x:c r="E44" s="34" t="str">
        <x:v>1x6-yBBIJDXC7wjb8mAuH6xZwlTRBVVdV</x:v>
      </x:c>
      <x:c r="F44" s="66" t="str">
        <x:f>IF(E44="","","https://drive.google.com/uc?export=download&amp;id="&amp;E44)</x:f>
        <x:v>https://drive.google.com/uc?export=download&amp;id=1x6-yBBIJDXC7wjb8mAuH6xZwlTRBVVdV</x:v>
      </x:c>
      <x:c r="G44" s="34" t="str">
        <x:f>IF(COUNTIF($B$2:$B$66,B44)&gt;1,"SHARED LINK","")</x:f>
      </x:c>
      <x:c r="H44" s="34" t="str"/>
      <x:c r="I44" s="72" t="n">
        <x:v>46222</x:v>
      </x:c>
    </x:row>
    <x:row r="45" ht="38" customHeight="1">
      <x:c r="A45" s="33" t="str">
        <x:v>PIONEER</x:v>
      </x:c>
      <x:c r="B45" s="66" t="str">
        <x:v>https://drive.google.com/file/d/1jnMmsAOAzD3JOBkQxNtnlTvP5ThNFinq/view?usp=drive_link</x:v>
      </x:c>
      <x:c r="C45" s="34" t="str">
        <x:v>ACTIVE</x:v>
      </x:c>
      <x:c r="D45" s="34" t="str">
        <x:v>PIONNER</x:v>
      </x:c>
      <x:c r="E45" s="34" t="str">
        <x:v>1jnMmsAOAzD3JOBkQxNtnlTvP5ThNFinq</x:v>
      </x:c>
      <x:c r="F45" s="66" t="str">
        <x:f>IF(E45="","","https://drive.google.com/uc?export=download&amp;id="&amp;E45)</x:f>
        <x:v>https://drive.google.com/uc?export=download&amp;id=1jnMmsAOAzD3JOBkQxNtnlTvP5ThNFinq</x:v>
      </x:c>
      <x:c r="G45" s="34" t="str">
        <x:f>IF(COUNTIF($B$2:$B$66,B45)&gt;1,"SHARED LINK","")</x:f>
      </x:c>
      <x:c r="H45" s="34" t="str">
        <x:v>Name corrected for Price Book matching</x:v>
      </x:c>
      <x:c r="I45" s="72" t="n">
        <x:v>46222</x:v>
      </x:c>
    </x:row>
    <x:row r="46" ht="38" customHeight="1">
      <x:c r="A46" s="33" t="str">
        <x:v>PLATINUM</x:v>
      </x:c>
      <x:c r="B46" s="66" t="str">
        <x:v>https://drive.google.com/file/d/1bA6YTB8FgDHNI3tL96hgiJedFsR-z-zH/view?usp=drive_link</x:v>
      </x:c>
      <x:c r="C46" s="34" t="str">
        <x:v>ACTIVE</x:v>
      </x:c>
      <x:c r="D46" s="34" t="str">
        <x:v>PLATINUM</x:v>
      </x:c>
      <x:c r="E46" s="34" t="str">
        <x:v>1bA6YTB8FgDHNI3tL96hgiJedFsR-z-zH</x:v>
      </x:c>
      <x:c r="F46" s="66" t="str">
        <x:f>IF(E46="","","https://drive.google.com/uc?export=download&amp;id="&amp;E46)</x:f>
        <x:v>https://drive.google.com/uc?export=download&amp;id=1bA6YTB8FgDHNI3tL96hgiJedFsR-z-zH</x:v>
      </x:c>
      <x:c r="G46" s="34" t="str">
        <x:f>IF(COUNTIF($B$2:$B$66,B46)&gt;1,"SHARED LINK","")</x:f>
      </x:c>
      <x:c r="H46" s="34" t="str"/>
      <x:c r="I46" s="72" t="n">
        <x:v>46222</x:v>
      </x:c>
    </x:row>
    <x:row r="47" ht="38" customHeight="1">
      <x:c r="A47" s="33" t="str">
        <x:v>POLY GRIP</x:v>
      </x:c>
      <x:c r="B47" s="66" t="str">
        <x:v>https://drive.google.com/file/d/1SgmGvOTUDfy6arxxxsOxd9ZxeMR3jh_Q/view?usp=drive_link</x:v>
      </x:c>
      <x:c r="C47" s="34" t="str">
        <x:v>ACTIVE</x:v>
      </x:c>
      <x:c r="D47" s="34" t="str">
        <x:v>POLYGRIP</x:v>
      </x:c>
      <x:c r="E47" s="34" t="str">
        <x:v>1SgmGvOTUDfy6arxxxsOxd9ZxeMR3jh_Q</x:v>
      </x:c>
      <x:c r="F47" s="66" t="str">
        <x:f>IF(E47="","","https://drive.google.com/uc?export=download&amp;id="&amp;E47)</x:f>
        <x:v>https://drive.google.com/uc?export=download&amp;id=1SgmGvOTUDfy6arxxxsOxd9ZxeMR3jh_Q</x:v>
      </x:c>
      <x:c r="G47" s="34" t="str">
        <x:f>IF(COUNTIF($B$2:$B$66,B47)&gt;1,"SHARED LINK","")</x:f>
      </x:c>
      <x:c r="H47" s="34" t="str">
        <x:v>Name corrected for Price Book matching</x:v>
      </x:c>
      <x:c r="I47" s="72" t="n">
        <x:v>46222</x:v>
      </x:c>
    </x:row>
    <x:row r="48" ht="38" customHeight="1">
      <x:c r="A48" s="33" t="str">
        <x:v>PRIMA</x:v>
      </x:c>
      <x:c r="B48" s="66" t="str">
        <x:v>https://drive.google.com/file/d/17qzIk7tR6rWWWBJkaw88HWU7hTbqSHP2/view?usp=drive_link</x:v>
      </x:c>
      <x:c r="C48" s="34" t="str">
        <x:v>ACTIVE</x:v>
      </x:c>
      <x:c r="D48" s="34" t="str">
        <x:v>PRIMA</x:v>
      </x:c>
      <x:c r="E48" s="34" t="str">
        <x:v>17qzIk7tR6rWWWBJkaw88HWU7hTbqSHP2</x:v>
      </x:c>
      <x:c r="F48" s="66" t="str">
        <x:f>IF(E48="","","https://drive.google.com/uc?export=download&amp;id="&amp;E48)</x:f>
        <x:v>https://drive.google.com/uc?export=download&amp;id=17qzIk7tR6rWWWBJkaw88HWU7hTbqSHP2</x:v>
      </x:c>
      <x:c r="G48" s="34" t="str">
        <x:f>IF(COUNTIF($B$2:$B$66,B48)&gt;1,"SHARED LINK","")</x:f>
      </x:c>
      <x:c r="H48" s="34" t="str"/>
      <x:c r="I48" s="72" t="n">
        <x:v>46222</x:v>
      </x:c>
    </x:row>
    <x:row r="49" ht="38" customHeight="1">
      <x:c r="A49" s="33" t="str">
        <x:v>QH</x:v>
      </x:c>
      <x:c r="B49" s="66" t="str">
        <x:v>https://drive.google.com/file/d/1E-XNbDKuwsUUrpg8I_R6w0bqy-8nKput/view?usp=drive_link</x:v>
      </x:c>
      <x:c r="C49" s="34" t="str">
        <x:v>ACTIVE</x:v>
      </x:c>
      <x:c r="D49" s="34" t="str">
        <x:v>QH</x:v>
      </x:c>
      <x:c r="E49" s="34" t="str">
        <x:v>1E-XNbDKuwsUUrpg8I_R6w0bqy-8nKput</x:v>
      </x:c>
      <x:c r="F49" s="66" t="str">
        <x:f>IF(E49="","","https://drive.google.com/uc?export=download&amp;id="&amp;E49)</x:f>
        <x:v>https://drive.google.com/uc?export=download&amp;id=1E-XNbDKuwsUUrpg8I_R6w0bqy-8nKput</x:v>
      </x:c>
      <x:c r="G49" s="34" t="str">
        <x:f>IF(COUNTIF($B$2:$B$66,B49)&gt;1,"SHARED LINK","")</x:f>
      </x:c>
      <x:c r="H49" s="34" t="str"/>
      <x:c r="I49" s="72" t="n">
        <x:v>46222</x:v>
      </x:c>
    </x:row>
    <x:row r="50" ht="38" customHeight="1">
      <x:c r="A50" s="33" t="str">
        <x:v>RAICAM</x:v>
      </x:c>
      <x:c r="B50" s="66" t="str">
        <x:v>https://drive.google.com/file/d/1Vr3VauleKkqcM9q9Euy8Gj6pPTNAsKv-/view?usp=drive_link</x:v>
      </x:c>
      <x:c r="C50" s="34" t="str">
        <x:v>ACTIVE</x:v>
      </x:c>
      <x:c r="D50" s="34" t="str">
        <x:v>RAICAM</x:v>
      </x:c>
      <x:c r="E50" s="34" t="str">
        <x:v>1Vr3VauleKkqcM9q9Euy8Gj6pPTNAsKv-</x:v>
      </x:c>
      <x:c r="F50" s="66" t="str">
        <x:f>IF(E50="","","https://drive.google.com/uc?export=download&amp;id="&amp;E50)</x:f>
        <x:v>https://drive.google.com/uc?export=download&amp;id=1Vr3VauleKkqcM9q9Euy8Gj6pPTNAsKv-</x:v>
      </x:c>
      <x:c r="G50" s="34" t="str">
        <x:f>IF(COUNTIF($B$2:$B$66,B50)&gt;1,"SHARED LINK","")</x:f>
      </x:c>
      <x:c r="H50" s="34" t="str"/>
      <x:c r="I50" s="72" t="n">
        <x:v>46222</x:v>
      </x:c>
    </x:row>
    <x:row r="51" ht="38" customHeight="1">
      <x:c r="A51" s="33" t="str">
        <x:v>RAJNISH</x:v>
      </x:c>
      <x:c r="B51" s="66" t="str">
        <x:v>https://drive.google.com/file/d/1Y9P6eaFagI8MP3ABDOaMOvrKz-fcFqNU/view?usp=drive_link</x:v>
      </x:c>
      <x:c r="C51" s="34" t="str">
        <x:v>ACTIVE</x:v>
      </x:c>
      <x:c r="D51" s="34" t="str">
        <x:v>RAJNISH</x:v>
      </x:c>
      <x:c r="E51" s="34" t="str">
        <x:v>1Y9P6eaFagI8MP3ABDOaMOvrKz-fcFqNU</x:v>
      </x:c>
      <x:c r="F51" s="66" t="str">
        <x:f>IF(E51="","","https://drive.google.com/uc?export=download&amp;id="&amp;E51)</x:f>
        <x:v>https://drive.google.com/uc?export=download&amp;id=1Y9P6eaFagI8MP3ABDOaMOvrKz-fcFqNU</x:v>
      </x:c>
      <x:c r="G51" s="34" t="str">
        <x:f>IF(COUNTIF($B$2:$B$66,B51)&gt;1,"SHARED LINK","")</x:f>
      </x:c>
      <x:c r="H51" s="34" t="str"/>
      <x:c r="I51" s="72" t="n">
        <x:v>46222</x:v>
      </x:c>
    </x:row>
    <x:row r="52" ht="38" customHeight="1">
      <x:c r="A52" s="33" t="str">
        <x:v>RAVI JACK</x:v>
      </x:c>
      <x:c r="B52" s="66" t="str">
        <x:v>https://drive.google.com/file/d/19G9V4xY0kcoPXKBWoAn6pp5wmbLv5N39/view?usp=drive_link</x:v>
      </x:c>
      <x:c r="C52" s="34" t="str">
        <x:v>ACTIVE</x:v>
      </x:c>
      <x:c r="D52" s="34" t="str">
        <x:v>RAVI</x:v>
      </x:c>
      <x:c r="E52" s="34" t="str">
        <x:v>19G9V4xY0kcoPXKBWoAn6pp5wmbLv5N39</x:v>
      </x:c>
      <x:c r="F52" s="66" t="str">
        <x:f>IF(E52="","","https://drive.google.com/uc?export=download&amp;id="&amp;E52)</x:f>
        <x:v>https://drive.google.com/uc?export=download&amp;id=19G9V4xY0kcoPXKBWoAn6pp5wmbLv5N39</x:v>
      </x:c>
      <x:c r="G52" s="34" t="str">
        <x:f>IF(COUNTIF($B$2:$B$66,B52)&gt;1,"SHARED LINK","")</x:f>
        <x:v>SHARED LINK</x:v>
      </x:c>
      <x:c r="H52" s="34" t="str">
        <x:v>Name corrected for Price Book matching</x:v>
      </x:c>
      <x:c r="I52" s="72" t="n">
        <x:v>46222</x:v>
      </x:c>
    </x:row>
    <x:row r="53" ht="38" customHeight="1">
      <x:c r="A53" s="33" t="str">
        <x:v>RDS</x:v>
      </x:c>
      <x:c r="B53" s="66" t="str">
        <x:v>https://drive.google.com/file/d/1TjRtZbIL3KF4NUW9NNPqe0QzoU1j8Utx/view?usp=drive_link</x:v>
      </x:c>
      <x:c r="C53" s="34" t="str">
        <x:v>ACTIVE</x:v>
      </x:c>
      <x:c r="D53" s="34" t="str">
        <x:v>RDS</x:v>
      </x:c>
      <x:c r="E53" s="34" t="str">
        <x:v>1TjRtZbIL3KF4NUW9NNPqe0QzoU1j8Utx</x:v>
      </x:c>
      <x:c r="F53" s="66" t="str">
        <x:f>IF(E53="","","https://drive.google.com/uc?export=download&amp;id="&amp;E53)</x:f>
        <x:v>https://drive.google.com/uc?export=download&amp;id=1TjRtZbIL3KF4NUW9NNPqe0QzoU1j8Utx</x:v>
      </x:c>
      <x:c r="G53" s="34" t="str">
        <x:f>IF(COUNTIF($B$2:$B$66,B53)&gt;1,"SHARED LINK","")</x:f>
      </x:c>
      <x:c r="H53" s="34" t="str"/>
      <x:c r="I53" s="72" t="n">
        <x:v>46222</x:v>
      </x:c>
    </x:row>
    <x:row r="54" ht="38" customHeight="1">
      <x:c r="A54" s="33" t="str">
        <x:v>RKD</x:v>
      </x:c>
      <x:c r="B54" s="66" t="str">
        <x:v>https://drive.google.com/file/d/1jwBC_2uPIDS1ER1sRJUWL5CXU8eRFWud/view?usp=drive_link</x:v>
      </x:c>
      <x:c r="C54" s="34" t="str">
        <x:v>ACTIVE</x:v>
      </x:c>
      <x:c r="D54" s="34" t="str">
        <x:v>RKD</x:v>
      </x:c>
      <x:c r="E54" s="34" t="str">
        <x:v>1jwBC_2uPIDS1ER1sRJUWL5CXU8eRFWud</x:v>
      </x:c>
      <x:c r="F54" s="66" t="str">
        <x:f>IF(E54="","","https://drive.google.com/uc?export=download&amp;id="&amp;E54)</x:f>
        <x:v>https://drive.google.com/uc?export=download&amp;id=1jwBC_2uPIDS1ER1sRJUWL5CXU8eRFWud</x:v>
      </x:c>
      <x:c r="G54" s="34" t="str">
        <x:f>IF(COUNTIF($B$2:$B$66,B54)&gt;1,"SHARED LINK","")</x:f>
      </x:c>
      <x:c r="H54" s="34" t="str"/>
      <x:c r="I54" s="72" t="n">
        <x:v>46222</x:v>
      </x:c>
    </x:row>
    <x:row r="55" ht="38" customHeight="1">
      <x:c r="A55" s="33" t="str">
        <x:v>RM</x:v>
      </x:c>
      <x:c r="B55" s="66" t="str">
        <x:v>https://drive.google.com/file/d/1uE7i5B_Pe7g5DbcxdNbE3M3X2YXQ5Y9j/view?usp=drive_link</x:v>
      </x:c>
      <x:c r="C55" s="34" t="str">
        <x:v>ACTIVE</x:v>
      </x:c>
      <x:c r="D55" s="34" t="str">
        <x:v>RM</x:v>
      </x:c>
      <x:c r="E55" s="34" t="str">
        <x:v>1uE7i5B_Pe7g5DbcxdNbE3M3X2YXQ5Y9j</x:v>
      </x:c>
      <x:c r="F55" s="66" t="str">
        <x:f>IF(E55="","","https://drive.google.com/uc?export=download&amp;id="&amp;E55)</x:f>
        <x:v>https://drive.google.com/uc?export=download&amp;id=1uE7i5B_Pe7g5DbcxdNbE3M3X2YXQ5Y9j</x:v>
      </x:c>
      <x:c r="G55" s="34" t="str">
        <x:f>IF(COUNTIF($B$2:$B$66,B55)&gt;1,"SHARED LINK","")</x:f>
      </x:c>
      <x:c r="H55" s="34" t="str"/>
      <x:c r="I55" s="72" t="n">
        <x:v>46222</x:v>
      </x:c>
    </x:row>
    <x:row r="56" ht="38" customHeight="1">
      <x:c r="A56" s="33" t="str">
        <x:v>ROSE</x:v>
      </x:c>
      <x:c r="B56" s="66" t="str">
        <x:v>https://drive.google.com/file/d/1gYLym90a6qdhsYBZ3992g9aRnsJqIJCv/view?usp=drive_link</x:v>
      </x:c>
      <x:c r="C56" s="34" t="str">
        <x:v>ACTIVE</x:v>
      </x:c>
      <x:c r="D56" s="34" t="str">
        <x:v>ROSE</x:v>
      </x:c>
      <x:c r="E56" s="34" t="str">
        <x:v>1gYLym90a6qdhsYBZ3992g9aRnsJqIJCv</x:v>
      </x:c>
      <x:c r="F56" s="66" t="str">
        <x:f>IF(E56="","","https://drive.google.com/uc?export=download&amp;id="&amp;E56)</x:f>
        <x:v>https://drive.google.com/uc?export=download&amp;id=1gYLym90a6qdhsYBZ3992g9aRnsJqIJCv</x:v>
      </x:c>
      <x:c r="G56" s="34" t="str">
        <x:f>IF(COUNTIF($B$2:$B$66,B56)&gt;1,"SHARED LINK","")</x:f>
      </x:c>
      <x:c r="H56" s="34" t="str"/>
      <x:c r="I56" s="72" t="n">
        <x:v>46222</x:v>
      </x:c>
    </x:row>
    <x:row r="57" ht="38" customHeight="1">
      <x:c r="A57" s="33" t="str">
        <x:v>SF</x:v>
      </x:c>
      <x:c r="B57" s="66" t="str">
        <x:v>https://drive.google.com/file/d/1KNEFJ-KiRuFfpC9O8OkMUnW1RPBFD8Ly/view?usp=drive_link</x:v>
      </x:c>
      <x:c r="C57" s="34" t="str">
        <x:v>ACTIVE</x:v>
      </x:c>
      <x:c r="D57" s="34" t="str">
        <x:v>SF</x:v>
      </x:c>
      <x:c r="E57" s="34" t="str">
        <x:v>1KNEFJ-KiRuFfpC9O8OkMUnW1RPBFD8Ly</x:v>
      </x:c>
      <x:c r="F57" s="66" t="str">
        <x:f>IF(E57="","","https://drive.google.com/uc?export=download&amp;id="&amp;E57)</x:f>
        <x:v>https://drive.google.com/uc?export=download&amp;id=1KNEFJ-KiRuFfpC9O8OkMUnW1RPBFD8Ly</x:v>
      </x:c>
      <x:c r="G57" s="34" t="str">
        <x:f>IF(COUNTIF($B$2:$B$66,B57)&gt;1,"SHARED LINK","")</x:f>
      </x:c>
      <x:c r="H57" s="34" t="str"/>
      <x:c r="I57" s="72" t="n">
        <x:v>46222</x:v>
      </x:c>
    </x:row>
    <x:row r="58" ht="38" customHeight="1">
      <x:c r="A58" s="33" t="str">
        <x:v>SHANCO</x:v>
      </x:c>
      <x:c r="B58" s="66" t="str">
        <x:v>https://drive.google.com/file/d/1reH25388sjyy-4GDIgYMCDlrD9NTuyrZ/view?usp=drive_link</x:v>
      </x:c>
      <x:c r="C58" s="34" t="str">
        <x:v>ACTIVE</x:v>
      </x:c>
      <x:c r="D58" s="34" t="str">
        <x:v>SHANCO</x:v>
      </x:c>
      <x:c r="E58" s="34" t="str">
        <x:v>1reH25388sjyy-4GDIgYMCDlrD9NTuyrZ</x:v>
      </x:c>
      <x:c r="F58" s="66" t="str">
        <x:f>IF(E58="","","https://drive.google.com/uc?export=download&amp;id="&amp;E58)</x:f>
        <x:v>https://drive.google.com/uc?export=download&amp;id=1reH25388sjyy-4GDIgYMCDlrD9NTuyrZ</x:v>
      </x:c>
      <x:c r="G58" s="34" t="str">
        <x:f>IF(COUNTIF($B$2:$B$66,B58)&gt;1,"SHARED LINK","")</x:f>
      </x:c>
      <x:c r="H58" s="34" t="str"/>
      <x:c r="I58" s="72" t="n">
        <x:v>46222</x:v>
      </x:c>
    </x:row>
    <x:row r="59" ht="38" customHeight="1">
      <x:c r="A59" s="33" t="str">
        <x:v>SORL</x:v>
      </x:c>
      <x:c r="B59" s="66" t="str">
        <x:v>https://drive.google.com/file/d/1K6AfSZODwuLfWWpyM049iKWcQfpbqFEq/view?usp=drive_link</x:v>
      </x:c>
      <x:c r="C59" s="34" t="str">
        <x:v>ACTIVE</x:v>
      </x:c>
      <x:c r="D59" s="34" t="str">
        <x:v>SORL</x:v>
      </x:c>
      <x:c r="E59" s="34" t="str">
        <x:v>1K6AfSZODwuLfWWpyM049iKWcQfpbqFEq</x:v>
      </x:c>
      <x:c r="F59" s="66" t="str">
        <x:f>IF(E59="","","https://drive.google.com/uc?export=download&amp;id="&amp;E59)</x:f>
        <x:v>https://drive.google.com/uc?export=download&amp;id=1K6AfSZODwuLfWWpyM049iKWcQfpbqFEq</x:v>
      </x:c>
      <x:c r="G59" s="34" t="str">
        <x:f>IF(COUNTIF($B$2:$B$66,B59)&gt;1,"SHARED LINK","")</x:f>
      </x:c>
      <x:c r="H59" s="34" t="str"/>
      <x:c r="I59" s="72" t="n">
        <x:v>46222</x:v>
      </x:c>
    </x:row>
    <x:row r="60" ht="38" customHeight="1">
      <x:c r="A60" s="33" t="str">
        <x:v>SPICER</x:v>
      </x:c>
      <x:c r="B60" s="66" t="str">
        <x:v>https://drive.google.com/file/d/1OvHWlc_pMbbac91cG1A2TskMzj0DXyXV/view?usp=drive_link</x:v>
      </x:c>
      <x:c r="C60" s="34" t="str">
        <x:v>ACTIVE</x:v>
      </x:c>
      <x:c r="D60" s="34" t="str">
        <x:v>SPICER</x:v>
      </x:c>
      <x:c r="E60" s="34" t="str">
        <x:v>1OvHWlc_pMbbac91cG1A2TskMzj0DXyXV</x:v>
      </x:c>
      <x:c r="F60" s="66" t="str">
        <x:f>IF(E60="","","https://drive.google.com/uc?export=download&amp;id="&amp;E60)</x:f>
        <x:v>https://drive.google.com/uc?export=download&amp;id=1OvHWlc_pMbbac91cG1A2TskMzj0DXyXV</x:v>
      </x:c>
      <x:c r="G60" s="34" t="str">
        <x:f>IF(COUNTIF($B$2:$B$66,B60)&gt;1,"SHARED LINK","")</x:f>
        <x:v>SHARED LINK</x:v>
      </x:c>
      <x:c r="H60" s="34" t="str"/>
      <x:c r="I60" s="72" t="n">
        <x:v>46222</x:v>
      </x:c>
    </x:row>
    <x:row r="61" ht="38" customHeight="1">
      <x:c r="A61" s="33" t="str">
        <x:v>STL</x:v>
      </x:c>
      <x:c r="B61" s="66" t="str">
        <x:v>https://drive.google.com/file/d/1DtvsEp0GPa4_JVITk-g18ycyoNDWqLTE/view?usp=drive_link</x:v>
      </x:c>
      <x:c r="C61" s="34" t="str">
        <x:v>ACTIVE</x:v>
      </x:c>
      <x:c r="D61" s="34" t="str">
        <x:v>STL</x:v>
      </x:c>
      <x:c r="E61" s="34" t="str">
        <x:v>1DtvsEp0GPa4_JVITk-g18ycyoNDWqLTE</x:v>
      </x:c>
      <x:c r="F61" s="66" t="str">
        <x:f>IF(E61="","","https://drive.google.com/uc?export=download&amp;id="&amp;E61)</x:f>
        <x:v>https://drive.google.com/uc?export=download&amp;id=1DtvsEp0GPa4_JVITk-g18ycyoNDWqLTE</x:v>
      </x:c>
      <x:c r="G61" s="34" t="str">
        <x:f>IF(COUNTIF($B$2:$B$66,B61)&gt;1,"SHARED LINK","")</x:f>
      </x:c>
      <x:c r="H61" s="34" t="str"/>
      <x:c r="I61" s="72" t="n">
        <x:v>46222</x:v>
      </x:c>
    </x:row>
    <x:row r="62" ht="38" customHeight="1">
      <x:c r="A62" s="33" t="str">
        <x:v>SUPERLAC</x:v>
      </x:c>
      <x:c r="B62" s="66" t="str">
        <x:v>https://drive.google.com/file/d/1QeacOgyKHQDh_t28T70fFzjUF9ByxvUC/view?usp=drive_link</x:v>
      </x:c>
      <x:c r="C62" s="34" t="str">
        <x:v>ACTIVE</x:v>
      </x:c>
      <x:c r="D62" s="34" t="str">
        <x:v>SUPERLAC</x:v>
      </x:c>
      <x:c r="E62" s="34" t="str">
        <x:v>1QeacOgyKHQDh_t28T70fFzjUF9ByxvUC</x:v>
      </x:c>
      <x:c r="F62" s="66" t="str">
        <x:f>IF(E62="","","https://drive.google.com/uc?export=download&amp;id="&amp;E62)</x:f>
        <x:v>https://drive.google.com/uc?export=download&amp;id=1QeacOgyKHQDh_t28T70fFzjUF9ByxvUC</x:v>
      </x:c>
      <x:c r="G62" s="34" t="str">
        <x:f>IF(COUNTIF($B$2:$B$66,B62)&gt;1,"SHARED LINK","")</x:f>
      </x:c>
      <x:c r="H62" s="34" t="str"/>
      <x:c r="I62" s="72" t="n">
        <x:v>46222</x:v>
      </x:c>
    </x:row>
    <x:row r="63" ht="38" customHeight="1">
      <x:c r="A63" s="33" t="str">
        <x:v>SVL</x:v>
      </x:c>
      <x:c r="B63" s="66" t="str">
        <x:v>https://drive.google.com/file/d/1OvHWlc_pMbbac91cG1A2TskMzj0DXyXV/view?usp=drive_link</x:v>
      </x:c>
      <x:c r="C63" s="34" t="str">
        <x:v>ACTIVE</x:v>
      </x:c>
      <x:c r="D63" s="34" t="str">
        <x:v>SVL</x:v>
      </x:c>
      <x:c r="E63" s="34" t="str">
        <x:v>1OvHWlc_pMbbac91cG1A2TskMzj0DXyXV</x:v>
      </x:c>
      <x:c r="F63" s="66" t="str">
        <x:f>IF(E63="","","https://drive.google.com/uc?export=download&amp;id="&amp;E63)</x:f>
        <x:v>https://drive.google.com/uc?export=download&amp;id=1OvHWlc_pMbbac91cG1A2TskMzj0DXyXV</x:v>
      </x:c>
      <x:c r="G63" s="34" t="str">
        <x:f>IF(COUNTIF($B$2:$B$66,B63)&gt;1,"SHARED LINK","")</x:f>
        <x:v>SHARED LINK</x:v>
      </x:c>
      <x:c r="H63" s="34" t="str"/>
      <x:c r="I63" s="72" t="n">
        <x:v>46222</x:v>
      </x:c>
    </x:row>
    <x:row r="64" ht="38" customHeight="1">
      <x:c r="A64" s="33" t="str">
        <x:v>UVAL</x:v>
      </x:c>
      <x:c r="B64" s="66" t="str">
        <x:v>https://drive.google.com/file/d/1nUv8Ec1yP4eEbaBq7OXkIZKpmdSyACiG/view?usp=drive_link</x:v>
      </x:c>
      <x:c r="C64" s="34" t="str">
        <x:v>ACTIVE</x:v>
      </x:c>
      <x:c r="D64" s="34" t="str">
        <x:v>UVAL</x:v>
      </x:c>
      <x:c r="E64" s="34" t="str">
        <x:v>1nUv8Ec1yP4eEbaBq7OXkIZKpmdSyACiG</x:v>
      </x:c>
      <x:c r="F64" s="66" t="str">
        <x:f>IF(E64="","","https://drive.google.com/uc?export=download&amp;id="&amp;E64)</x:f>
        <x:v>https://drive.google.com/uc?export=download&amp;id=1nUv8Ec1yP4eEbaBq7OXkIZKpmdSyACiG</x:v>
      </x:c>
      <x:c r="G64" s="34" t="str">
        <x:f>IF(COUNTIF($B$2:$B$66,B64)&gt;1,"SHARED LINK","")</x:f>
      </x:c>
      <x:c r="H64" s="34" t="str"/>
      <x:c r="I64" s="72" t="n">
        <x:v>46222</x:v>
      </x:c>
    </x:row>
    <x:row r="65" ht="38" customHeight="1">
      <x:c r="A65" s="33" t="str">
        <x:v>VALEO</x:v>
      </x:c>
      <x:c r="B65" s="66" t="str">
        <x:v>https://drive.google.com/file/d/1KaIQq4Yhv01_S3j7I_fDEQ457hnf2dC4/view?usp=drive_link</x:v>
      </x:c>
      <x:c r="C65" s="34" t="str">
        <x:v>ACTIVE</x:v>
      </x:c>
      <x:c r="D65" s="34" t="str">
        <x:v>VALEO</x:v>
      </x:c>
      <x:c r="E65" s="34" t="str">
        <x:v>1KaIQq4Yhv01_S3j7I_fDEQ457hnf2dC4</x:v>
      </x:c>
      <x:c r="F65" s="66" t="str">
        <x:f>IF(E65="","","https://drive.google.com/uc?export=download&amp;id="&amp;E65)</x:f>
        <x:v>https://drive.google.com/uc?export=download&amp;id=1KaIQq4Yhv01_S3j7I_fDEQ457hnf2dC4</x:v>
      </x:c>
      <x:c r="G65" s="34" t="str">
        <x:f>IF(COUNTIF($B$2:$B$66,B65)&gt;1,"SHARED LINK","")</x:f>
      </x:c>
      <x:c r="H65" s="34" t="str"/>
      <x:c r="I65" s="72" t="n">
        <x:v>46222</x:v>
      </x:c>
    </x:row>
    <x:row r="66" ht="38" customHeight="1">
      <x:c r="A66" s="36" t="str">
        <x:v>VEETHREE</x:v>
      </x:c>
      <x:c r="B66" s="67" t="str">
        <x:v>https://drive.google.com/file/d/1EXprBrv2IRI6RsO43GoAMZasyyQY3l2h/view?usp=drive_link</x:v>
      </x:c>
      <x:c r="C66" s="37" t="str">
        <x:v>ACTIVE</x:v>
      </x:c>
      <x:c r="D66" s="37" t="str">
        <x:v>VEETHREE</x:v>
      </x:c>
      <x:c r="E66" s="37" t="str">
        <x:v>1EXprBrv2IRI6RsO43GoAMZasyyQY3l2h</x:v>
      </x:c>
      <x:c r="F66" s="67" t="str">
        <x:f>IF(E66="","","https://drive.google.com/uc?export=download&amp;id="&amp;E66)</x:f>
        <x:v>https://drive.google.com/uc?export=download&amp;id=1EXprBrv2IRI6RsO43GoAMZasyyQY3l2h</x:v>
      </x:c>
      <x:c r="G66" s="37" t="str">
        <x:f>IF(COUNTIF($B$2:$B$66,B66)&gt;1,"SHARED LINK","")</x:f>
      </x:c>
      <x:c r="H66" s="37" t="str"/>
      <x:c r="I66" s="73" t="n">
        <x:v>46222</x:v>
      </x:c>
    </x:row>
  </x:sheetData>
  <x:conditionalFormatting sqref="C2:C500">
    <x:cfRule type="expression" dxfId="0" priority="1">
      <x:formula>C2="INACTIVE"</x:formula>
    </x:cfRule>
  </x:conditionalFormatting>
  <x:conditionalFormatting sqref="G2:G66">
    <x:cfRule type="expression" dxfId="1" priority="2">
      <x:formula>G2="SHARED LINK"</x:formula>
    </x:cfRule>
  </x:conditionalFormatting>
  <x:dataValidations count="1">
    <x:dataValidation type="list" sqref="C2:C5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d2651da6434f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4" hidden="0" customWidth="1"/>
    <x:col min="3" max="3" width="52" hidden="0" customWidth="1"/>
  </x:cols>
  <x:sheetData>
    <x:row r="1" ht="34" customHeight="1">
      <x:c r="A1" s="79" t="str">
        <x:v>RAJ CATALOG LINKS — UPDATE GUIDE</x:v>
      </x:c>
      <x:c r="B1" s="79"/>
      <x:c r="C1" s="79"/>
      <x:c r="D1" s="79"/>
      <x:c r="E1" s="79"/>
      <x:c r="F1" s="79"/>
    </x:row>
    <x:row r="3" ht="46" customHeight="1">
      <x:c r="A3" s="86" t="str">
        <x:v>STEP</x:v>
      </x:c>
      <x:c r="B3" s="86" t="str">
        <x:v>WHAT TO DO</x:v>
      </x:c>
      <x:c r="C3" s="86" t="str">
        <x:v>IMPORTANT</x:v>
      </x:c>
    </x:row>
    <x:row r="4" ht="46" customHeight="1">
      <x:c r="A4" s="91" t="n">
        <x:v>1</x:v>
      </x:c>
      <x:c r="B4" s="91" t="str">
        <x:v>Existing catalog link replace karna ho to 'Catalog Links' sheet mein CATALOG LINK cell edit karein.</x:v>
      </x:c>
      <x:c r="C4" s="91" t="str">
        <x:v>GROUP name ko price-book ke Group/Brand name se match rakhein.</x:v>
      </x:c>
    </x:row>
    <x:row r="5" ht="46" customHeight="1">
      <x:c r="A5" s="91" t="n">
        <x:v>2</x:v>
      </x:c>
      <x:c r="B5" s="91" t="str">
        <x:v>New group add karna ho to table ke bilkul next blank row mein GROUP aur CATALOG LINK paste karein.</x:v>
      </x:c>
      <x:c r="C5" s="91" t="str">
        <x:v>STATUS = ACTIVE rakhein.</x:v>
      </x:c>
    </x:row>
    <x:row r="6" ht="46" customHeight="1">
      <x:c r="A6" s="91" t="n">
        <x:v>3</x:v>
      </x:c>
      <x:c r="B6" s="91" t="str">
        <x:v>File ko exact naam 'catalog-links.xlsx' se save karein.</x:v>
      </x:c>
      <x:c r="C6" s="91" t="str">
        <x:v>Recommended path: assets/data/catalog-links.xlsx</x:v>
      </x:c>
    </x:row>
    <x:row r="7" ht="46" customHeight="1">
      <x:c r="A7" s="91" t="n">
        <x:v>4</x:v>
      </x:c>
      <x:c r="B7" s="91" t="str">
        <x:v>Website server/hosting par chalti ho to page refresh par Excel automatically read hoga.</x:v>
      </x:c>
      <x:c r="C7" s="91" t="str">
        <x:v>Browser cache ho to Ctrl + F5 karein.</x:v>
      </x:c>
    </x:row>
    <x:row r="8" ht="46" customHeight="1">
      <x:c r="A8" s="91" t="n">
        <x:v>5</x:v>
      </x:c>
      <x:c r="B8" s="91" t="str">
        <x:v>Website local folder se file:// mode mein khulti ho to 'Sync Catalog Excel' button ek baar click karke updated Excel select karein.</x:v>
      </x:c>
      <x:c r="C8" s="91" t="str">
        <x:v>Imported links browser mein save rahenge.</x:v>
      </x:c>
    </x:row>
    <x:row r="9" ht="46" customHeight="1">
      <x:c r="A9" s="91" t="n">
        <x:v>6</x:v>
      </x:c>
      <x:c r="B9" s="91" t="str">
        <x:v>Google Drive sharing 'Anyone with the link' rakhein.</x:v>
      </x:c>
      <x:c r="C9" s="91" t="str">
        <x:v>Permission restricted hogi to catalog open nahi hoga.</x:v>
      </x:c>
    </x:row>
    <x:row r="11">
      <x:c r="A11" s="95" t="str">
        <x:v>NAME CORRECTIONS ALREADY APPLIED</x:v>
      </x:c>
      <x:c r="B11" s="95"/>
      <x:c r="C11" s="95"/>
    </x:row>
    <x:row r="12">
      <x:c r="A12" s="99" t="str">
        <x:v>Given Name</x:v>
      </x:c>
      <x:c r="B12" s="99" t="str">
        <x:v>Website Group</x:v>
      </x:c>
      <x:c r="C12" s="99" t="str">
        <x:v>Reason</x:v>
      </x:c>
    </x:row>
    <x:row r="13">
      <x:c r="A13" s="25" t="str">
        <x:v>FENER</x:v>
      </x:c>
      <x:c r="B13" s="25" t="str">
        <x:v>FENNER</x:v>
      </x:c>
      <x:c r="C13" s="25" t="str">
        <x:v>Current Price Book spelling</x:v>
      </x:c>
    </x:row>
    <x:row r="14">
      <x:c r="A14" s="25" t="str">
        <x:v>PIONNER</x:v>
      </x:c>
      <x:c r="B14" s="25" t="str">
        <x:v>PIONEER</x:v>
      </x:c>
      <x:c r="C14" s="25" t="str">
        <x:v>Current Price Book spelling</x:v>
      </x:c>
    </x:row>
    <x:row r="15">
      <x:c r="A15" s="25" t="str">
        <x:v>RAVI</x:v>
      </x:c>
      <x:c r="B15" s="25" t="str">
        <x:v>RAVI JACK</x:v>
      </x:c>
      <x:c r="C15" s="25" t="str">
        <x:v>Current Price Book group name</x:v>
      </x:c>
    </x:row>
    <x:row r="16">
      <x:c r="A16" s="25" t="str">
        <x:v>BLUEBIRD</x:v>
      </x:c>
      <x:c r="B16" s="25" t="str">
        <x:v>BLUE BIRD</x:v>
      </x:c>
      <x:c r="C16" s="25" t="str">
        <x:v>Spacing normalized</x:v>
      </x:c>
    </x:row>
    <x:row r="17">
      <x:c r="A17" s="25" t="str">
        <x:v>POLYGRIP</x:v>
      </x:c>
      <x:c r="B17" s="25" t="str">
        <x:v>POLY GRIP</x:v>
      </x:c>
      <x:c r="C17" s="25" t="str">
        <x:v>Spacing normalized</x:v>
      </x:c>
    </x:row>
  </x:sheetData>
  <x:mergeCells>
    <x:mergeCell ref="A1:F1"/>
    <x:mergeCell ref="A11:C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 ht="34" customHeight="1">
      <x:c r="A1" s="78" t="str">
        <x:v>CATALOG LINK SUMMARY</x:v>
      </x:c>
      <x:c r="B1" s="78"/>
      <x:c r="C1" s="78"/>
      <x:c r="D1" s="78"/>
    </x:row>
    <x:row r="3" ht="28" customHeight="1">
      <x:c r="A3" s="85" t="str">
        <x:v>METRIC</x:v>
      </x:c>
      <x:c r="B3" s="85" t="str">
        <x:v>VALUE</x:v>
      </x:c>
    </x:row>
    <x:row r="4" ht="28" customHeight="1">
      <x:c r="A4" s="101" t="str">
        <x:v>Total groups</x:v>
      </x:c>
      <x:c r="B4" s="105" t="n">
        <x:f>COUNTA('Catalog Links'!A2:A66)</x:f>
        <x:v>65</x:v>
      </x:c>
    </x:row>
    <x:row r="5" ht="28" customHeight="1">
      <x:c r="A5" s="101" t="str">
        <x:v>Active links</x:v>
      </x:c>
      <x:c r="B5" s="105" t="n">
        <x:f>COUNTIF('Catalog Links'!C2:C66,"ACTIVE")</x:f>
        <x:v>65</x:v>
      </x:c>
    </x:row>
    <x:row r="6" ht="28" customHeight="1">
      <x:c r="A6" s="101" t="str">
        <x:v>Inactive links</x:v>
      </x:c>
      <x:c r="B6" s="105" t="n">
        <x:f>COUNTIF('Catalog Links'!C2:C66,"INACTIVE")</x:f>
        <x:v>0</x:v>
      </x:c>
    </x:row>
    <x:row r="7" ht="28" customHeight="1">
      <x:c r="A7" s="101" t="str">
        <x:v>Rows sharing a link</x:v>
      </x:c>
      <x:c r="B7" s="105" t="n">
        <x:f>COUNTIF('Catalog Links'!G2:G66,"SHARED LINK")</x:f>
        <x:v>8</x:v>
      </x:c>
    </x:row>
  </x:sheetData>
  <x:mergeCells>
    <x:mergeCell ref="A1:D1"/>
  </x:mergeCells>
  <x:pageMargins left="0.7" right="0.7" top="0.75" bottom="0.75" header="0.3" footer="0.3"/>
</x:worksheet>
</file>